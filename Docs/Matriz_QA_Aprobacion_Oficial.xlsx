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Gestion_Segunda_Entrega" sheetId="1" state="visible" r:id="rId1"/>
    <sheet name="2_Construccion_Aplicacion" sheetId="2" state="visible" r:id="rId2"/>
    <sheet name="3_Checklist_Criterios_DoD" sheetId="3" state="visible" r:id="rId3"/>
    <sheet name="4_Pruebas_Tecnicas_Tablero" sheetId="4" state="visible" r:id="rId4"/>
    <sheet name="5_Registro_Defectos_Bug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color rgb="001F4E79"/>
      <sz val="15"/>
    </font>
    <font>
      <name val="Calibri"/>
      <b val="1"/>
      <color rgb="002E75B6"/>
      <sz val="12"/>
    </font>
    <font>
      <name val="Calibri"/>
      <i val="1"/>
      <color rgb="00595959"/>
      <sz val="11"/>
    </font>
    <font>
      <name val="Calibri"/>
      <b val="1"/>
      <sz val="10"/>
    </font>
    <font>
      <name val="Calibri"/>
      <b val="1"/>
      <color rgb="001F4E79"/>
      <sz val="11"/>
    </font>
    <font>
      <name val="Calibri"/>
      <b val="1"/>
      <color rgb="00FFFFFF"/>
      <sz val="11"/>
    </font>
    <font>
      <name val="Consolas"/>
      <b val="1"/>
      <color rgb="001F4E79"/>
      <sz val="9"/>
    </font>
    <font>
      <name val="Calibri"/>
      <sz val="10"/>
    </font>
  </fonts>
  <fills count="6">
    <fill>
      <patternFill/>
    </fill>
    <fill>
      <patternFill patternType="gray125"/>
    </fill>
    <fill>
      <patternFill patternType="solid">
        <fgColor rgb="00D9E1F2"/>
        <bgColor rgb="00D9E1F2"/>
      </patternFill>
    </fill>
    <fill>
      <patternFill patternType="solid">
        <fgColor rgb="001F4E79"/>
        <bgColor rgb="001F4E79"/>
      </patternFill>
    </fill>
    <fill>
      <patternFill patternType="solid">
        <fgColor rgb="00FFFFFF"/>
        <bgColor rgb="00FFFFFF"/>
      </patternFill>
    </fill>
    <fill>
      <patternFill patternType="solid">
        <fgColor rgb="00F9FBFD"/>
        <bgColor rgb="00F9FBFD"/>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8"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cellXfs>
  <cellStyles count="1">
    <cellStyle name="Normal" xfId="0" builtinId="0" hidden="0"/>
  </cellStyles>
  <dxfs count="4">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b val="1"/>
        <color rgb="009C6500"/>
        <sz val="10"/>
      </font>
      <fill>
        <patternFill patternType="solid">
          <fgColor rgb="00FFEB9C"/>
          <bgColor rgb="00FFEB9C"/>
        </patternFill>
      </fill>
    </dxf>
    <dxf>
      <font>
        <name val="Calibri"/>
        <color rgb="00595959"/>
        <sz val="10"/>
      </font>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showGridLines="1" workbookViewId="0">
      <selection activeCell="A1" sqref="A1"/>
    </sheetView>
  </sheetViews>
  <sheetFormatPr baseColWidth="8" defaultRowHeight="15"/>
  <cols>
    <col width="10" customWidth="1" min="1" max="1"/>
    <col width="36" customWidth="1" min="2" max="2"/>
    <col width="16" customWidth="1" min="3" max="3"/>
    <col width="16" customWidth="1" min="4" max="4"/>
    <col width="12" customWidth="1" min="5" max="5"/>
    <col width="10" customWidth="1" min="6" max="6"/>
    <col width="32" customWidth="1" min="7" max="7"/>
    <col width="22" customWidth="1" min="8" max="8"/>
    <col width="15" customWidth="1" min="9" max="9"/>
    <col width="50" customWidth="1" min="10" max="10"/>
    <col width="35" customWidth="1" min="11" max="11"/>
  </cols>
  <sheetData>
    <row r="1" ht="25" customHeight="1">
      <c r="A1" s="1" t="inlineStr">
        <is>
          <t>PANADERÍA SAN NICOLÁS · GESTIÓN SEGUNDA ENTREGA (METODOLOGÍA SCRUM)</t>
        </is>
      </c>
    </row>
    <row r="2" ht="20" customHeight="1">
      <c r="A2" s="2" t="inlineStr">
        <is>
          <t>HISTORIAS DE USUARIO DE GESTIÓN (HU-17 A HU-26) · EVALUACIÓN Y VISTO BUENO DE QA</t>
        </is>
      </c>
    </row>
    <row r="3" ht="18" customHeight="1">
      <c r="A3" s="3" t="inlineStr">
        <is>
          <t>Responsable de Calidad (QA): María Camila Tamayo Cuesta | Haz clic en la columna 'Estado QA' para usar el botón desplegable</t>
        </is>
      </c>
    </row>
    <row r="5">
      <c r="A5" s="4" t="inlineStr">
        <is>
          <t>Total HU:</t>
        </is>
      </c>
      <c r="B5" s="5" t="n">
        <v>10</v>
      </c>
      <c r="C5" s="4" t="inlineStr">
        <is>
          <t>Puntos Totales:</t>
        </is>
      </c>
      <c r="D5" s="5">
        <f>SUM(F8:F17)</f>
        <v/>
      </c>
      <c r="E5" s="4" t="inlineStr">
        <is>
          <t>Aprobadas:</t>
        </is>
      </c>
      <c r="F5" s="5">
        <f>COUNTIF(H8:H17, "APROBADO")</f>
        <v/>
      </c>
      <c r="G5" s="4" t="inlineStr">
        <is>
          <t>Rechazadas:</t>
        </is>
      </c>
      <c r="H5" s="5">
        <f>COUNTIF(H8:H17, "RECHAZADO")</f>
        <v/>
      </c>
      <c r="I5" s="4" t="inlineStr">
        <is>
          <t>% Aprobación:</t>
        </is>
      </c>
      <c r="J5" s="6">
        <f>F5/B5</f>
        <v/>
      </c>
    </row>
    <row r="7" ht="28" customHeight="1">
      <c r="A7" s="7" t="inlineStr">
        <is>
          <t>ID</t>
        </is>
      </c>
      <c r="B7" s="7" t="inlineStr">
        <is>
          <t>Título de la Historia</t>
        </is>
      </c>
      <c r="C7" s="7" t="inlineStr">
        <is>
          <t>Responsable</t>
        </is>
      </c>
      <c r="D7" s="7" t="inlineStr">
        <is>
          <t>Rol Scrum</t>
        </is>
      </c>
      <c r="E7" s="7" t="inlineStr">
        <is>
          <t>Prioridad</t>
        </is>
      </c>
      <c r="F7" s="7" t="inlineStr">
        <is>
          <t>Puntos</t>
        </is>
      </c>
      <c r="G7" s="7" t="inlineStr">
        <is>
          <t>Punto Exigido en la Guía</t>
        </is>
      </c>
      <c r="H7" s="7" t="inlineStr">
        <is>
          <t>Estado QA (Desplegable)</t>
        </is>
      </c>
      <c r="I7" s="7" t="inlineStr">
        <is>
          <t>Fecha Revisión</t>
        </is>
      </c>
      <c r="J7" s="7" t="inlineStr">
        <is>
          <t>Criterios de Aceptación a Verificar</t>
        </is>
      </c>
      <c r="K7" s="7" t="inlineStr">
        <is>
          <t>Acción en Caso de Rechazo</t>
        </is>
      </c>
    </row>
    <row r="8" ht="36" customHeight="1">
      <c r="A8" s="8" t="inlineStr">
        <is>
          <t>HU-17, HU-18</t>
        </is>
      </c>
      <c r="B8" s="9" t="inlineStr">
        <is>
          <t>HU-17, HU-18</t>
        </is>
      </c>
      <c r="C8" s="10" t="inlineStr">
        <is>
          <t>Juan Pablo</t>
        </is>
      </c>
      <c r="D8" s="10" t="inlineStr">
        <is>
          <t>Scrum Master</t>
        </is>
      </c>
      <c r="E8" s="10" t="inlineStr">
        <is>
          <t>Alta</t>
        </is>
      </c>
      <c r="F8" s="10" t="n">
        <v>5</v>
      </c>
      <c r="G8" s="9" t="inlineStr">
        <is>
          <t>1. Análisis y aplicación del modelo híbrido</t>
        </is>
      </c>
      <c r="H8" s="10" t="inlineStr">
        <is>
          <t>PENDIENTE</t>
        </is>
      </c>
      <c r="I8" s="10" t="inlineStr"/>
      <c r="J8" s="9" t="inlineStr">
        <is>
          <t>CA1. Se presenta el radar del filtro de idoneidad.
CA2. Cada entregable tiene su enfoque y su justificación.
CA3. Se explica la forma de combinación de los enfoques.
CA4. La información queda en Google Sheets.</t>
        </is>
      </c>
      <c r="K8" s="9" t="inlineStr">
        <is>
          <t>Devolver al responsable para subsanar los criterios no cumplidos</t>
        </is>
      </c>
    </row>
    <row r="9" ht="36" customHeight="1">
      <c r="A9" s="11" t="inlineStr">
        <is>
          <t>HU-19, HU-20</t>
        </is>
      </c>
      <c r="B9" s="12" t="inlineStr">
        <is>
          <t>HU-19, HU-20</t>
        </is>
      </c>
      <c r="C9" s="13" t="inlineStr">
        <is>
          <t>María Camila</t>
        </is>
      </c>
      <c r="D9" s="13" t="inlineStr">
        <is>
          <t>QA</t>
        </is>
      </c>
      <c r="E9" s="13" t="inlineStr">
        <is>
          <t>Media</t>
        </is>
      </c>
      <c r="F9" s="13" t="n">
        <v>3</v>
      </c>
      <c r="G9" s="12" t="inlineStr">
        <is>
          <t>1. Análisis y aplicación del modelo híbrido</t>
        </is>
      </c>
      <c r="H9" s="13" t="inlineStr">
        <is>
          <t>PENDIENTE</t>
        </is>
      </c>
      <c r="I9" s="13" t="inlineStr"/>
      <c r="J9" s="12" t="inlineStr">
        <is>
          <t>CA1. Cada historia tiene su categoría MoSCoW.
CA2. Se muestra el porcentaje de esfuerzo del Must.
CA3. El tablero Kanban tiene límites de WIP por columna.
CA4. Se reportan las métricas de flujo.</t>
        </is>
      </c>
      <c r="K9" s="12" t="inlineStr">
        <is>
          <t>Devolver al responsable para subsanar los criterios no cumplidos</t>
        </is>
      </c>
    </row>
    <row r="10" ht="36" customHeight="1">
      <c r="A10" s="8" t="inlineStr">
        <is>
          <t>HU-21</t>
        </is>
      </c>
      <c r="B10" s="9" t="inlineStr">
        <is>
          <t>HU-21</t>
        </is>
      </c>
      <c r="C10" s="10" t="inlineStr">
        <is>
          <t>Juan Pablo</t>
        </is>
      </c>
      <c r="D10" s="10" t="inlineStr">
        <is>
          <t>Scrum Master</t>
        </is>
      </c>
      <c r="E10" s="10" t="inlineStr">
        <is>
          <t>Alta</t>
        </is>
      </c>
      <c r="F10" s="10" t="n">
        <v>8</v>
      </c>
      <c r="G10" s="9" t="inlineStr">
        <is>
          <t>2. Modelo de negocio: CANVAS ampliado, PESTEL, propuesta de valor y vía de escalamiento</t>
        </is>
      </c>
      <c r="H10" s="10" t="inlineStr">
        <is>
          <t>PENDIENTE</t>
        </is>
      </c>
      <c r="I10" s="10" t="inlineStr"/>
      <c r="J10" s="9" t="inlineStr">
        <is>
          <t>CA1. Se muestran las tres capas y el Project Model Canvas.
CA2. La propuesta de valor encaja con los dolores del cliente.
CA3. Se describe la vía de escalamiento.
CA4. No se permite guardar un 
CANVAS completamente vacío.
CA5. La información queda en Google Sheets.</t>
        </is>
      </c>
      <c r="K10" s="9" t="inlineStr">
        <is>
          <t>Devolver al responsable para subsanar los criterios no cumplidos</t>
        </is>
      </c>
    </row>
    <row r="11" ht="36" customHeight="1">
      <c r="A11" s="11" t="inlineStr">
        <is>
          <t>HU-22</t>
        </is>
      </c>
      <c r="B11" s="12" t="inlineStr">
        <is>
          <t>HU-22</t>
        </is>
      </c>
      <c r="C11" s="13" t="inlineStr">
        <is>
          <t>María Camila</t>
        </is>
      </c>
      <c r="D11" s="13" t="inlineStr">
        <is>
          <t>QA</t>
        </is>
      </c>
      <c r="E11" s="13" t="inlineStr">
        <is>
          <t>Media</t>
        </is>
      </c>
      <c r="F11" s="13" t="n">
        <v>3</v>
      </c>
      <c r="G11" s="12" t="inlineStr">
        <is>
          <t>2. Modelo de negocio: CANVAS ampliado, PESTEL, propuesta de valor y vía de escalamiento</t>
        </is>
      </c>
      <c r="H11" s="13" t="inlineStr">
        <is>
          <t>PENDIENTE</t>
        </is>
      </c>
      <c r="I11" s="13" t="inlineStr"/>
      <c r="J11" s="12" t="inlineStr">
        <is>
          <t>CA1. Se muestran las seis categorías PESTEL.
CA2. Cada factor tiene su fuente.
CA3. Los factores están priorizados.
CA4. Las amenazas prioritarias quedan conectadas con el registro de riesgos.
CA5. La información queda en Google Sheets.</t>
        </is>
      </c>
      <c r="K11" s="12" t="inlineStr">
        <is>
          <t>Devolver al responsable para subsanar los criterios no cumplidos</t>
        </is>
      </c>
    </row>
    <row r="12" ht="36" customHeight="1">
      <c r="A12" s="8" t="inlineStr">
        <is>
          <t>HU-23, HU-24, HU-25</t>
        </is>
      </c>
      <c r="B12" s="9" t="inlineStr">
        <is>
          <t>HU-23, HU-24, HU-25</t>
        </is>
      </c>
      <c r="C12" s="10" t="inlineStr">
        <is>
          <t>María Camila</t>
        </is>
      </c>
      <c r="D12" s="10" t="inlineStr">
        <is>
          <t>QA</t>
        </is>
      </c>
      <c r="E12" s="10" t="inlineStr">
        <is>
          <t>Media</t>
        </is>
      </c>
      <c r="F12" s="10" t="n">
        <v>5</v>
      </c>
      <c r="G12" s="9" t="inlineStr">
        <is>
          <t>3. Evaluación de opciones de financiación</t>
        </is>
      </c>
      <c r="H12" s="10" t="inlineStr">
        <is>
          <t>PENDIENTE</t>
        </is>
      </c>
      <c r="I12" s="10" t="inlineStr"/>
      <c r="J12" s="9" t="inlineStr">
        <is>
          <t>CA1. Se muestran las cinco opciones de financiación.
CA2. Cada opción tiene sus criterios de comparación.
CA3. Se registra una recomendación justificada.
CA4. La información queda en Google Sheets.</t>
        </is>
      </c>
      <c r="K12" s="9" t="inlineStr">
        <is>
          <t>Devolver al responsable para subsanar los criterios no cumplidos</t>
        </is>
      </c>
    </row>
    <row r="13" ht="36" customHeight="1">
      <c r="A13" s="11" t="inlineStr">
        <is>
          <t>HU-26</t>
        </is>
      </c>
      <c r="B13" s="12" t="inlineStr">
        <is>
          <t>HU-26</t>
        </is>
      </c>
      <c r="C13" s="13" t="inlineStr">
        <is>
          <t>Juan Pablo</t>
        </is>
      </c>
      <c r="D13" s="13" t="inlineStr">
        <is>
          <t>Scrum Master</t>
        </is>
      </c>
      <c r="E13" s="13" t="inlineStr">
        <is>
          <t>Alta</t>
        </is>
      </c>
      <c r="F13" s="13" t="n">
        <v>8</v>
      </c>
      <c r="G13" s="12" t="inlineStr">
        <is>
          <t>4. Aplicación o simulación de la ejecución</t>
        </is>
      </c>
      <c r="H13" s="13" t="inlineStr">
        <is>
          <t>PENDIENTE</t>
        </is>
      </c>
      <c r="I13" s="13" t="inlineStr"/>
      <c r="J13" s="12" t="inlineStr">
        <is>
          <t>CA1. Se muestra el cronograma planeado contra el ejecutado.
CA2. Se muestra la diferencia entre lo estimado y lo real.
CA3. Se calculan e interpretan SPI y CPI.
CA4. Cada cambio tiene fecha, descripción, impacto y decisión.
CA5. La información queda en Google Sheets.</t>
        </is>
      </c>
      <c r="K13" s="12" t="inlineStr">
        <is>
          <t>Devolver al responsable para subsanar los criterios no cumplidos</t>
        </is>
      </c>
    </row>
    <row r="14" ht="36" customHeight="1">
      <c r="A14" s="8" t="inlineStr">
        <is>
          <t>HU-17</t>
        </is>
      </c>
      <c r="B14" s="9" t="inlineStr">
        <is>
          <t>HU-17</t>
        </is>
      </c>
      <c r="C14" s="10" t="inlineStr">
        <is>
          <t>María Camila</t>
        </is>
      </c>
      <c r="D14" s="10" t="inlineStr">
        <is>
          <t>QA</t>
        </is>
      </c>
      <c r="E14" s="10" t="inlineStr">
        <is>
          <t>Alta</t>
        </is>
      </c>
      <c r="F14" s="10" t="n">
        <v>5</v>
      </c>
      <c r="G14" s="9" t="inlineStr">
        <is>
          <t>5. Resultados: aplicación, pruebas, validación, beneficio, lecciones y sostenimiento</t>
        </is>
      </c>
      <c r="H14" s="10" t="inlineStr">
        <is>
          <t>PENDIENTE</t>
        </is>
      </c>
      <c r="I14" s="10" t="inlineStr"/>
      <c r="J14" s="9" t="inlineStr">
        <is>
          <t>CA1. Cada historia tiene al menos un caso de prueba.
CA2. Se prueba la carga con un archivo distinto al de desarrollo.
CA3. Los errores encontrados quedan registrados y corregidos.
CA4. El plan y la evidencia quedan como anexo del informe.</t>
        </is>
      </c>
      <c r="K14" s="9" t="inlineStr">
        <is>
          <t>Devolver al responsable para subsanar los criterios no cumplidos</t>
        </is>
      </c>
    </row>
    <row r="15" ht="36" customHeight="1">
      <c r="A15" s="11" t="inlineStr">
        <is>
          <t>HU-18</t>
        </is>
      </c>
      <c r="B15" s="12" t="inlineStr">
        <is>
          <t>HU-18</t>
        </is>
      </c>
      <c r="C15" s="13" t="inlineStr">
        <is>
          <t>María Camila</t>
        </is>
      </c>
      <c r="D15" s="13" t="inlineStr">
        <is>
          <t>QA</t>
        </is>
      </c>
      <c r="E15" s="13" t="inlineStr">
        <is>
          <t>Alta</t>
        </is>
      </c>
      <c r="F15" s="13" t="n">
        <v>3</v>
      </c>
      <c r="G15" s="12" t="inlineStr">
        <is>
          <t>5. Resultados: aplicación, pruebas, validación, beneficio, lecciones y sostenimiento</t>
        </is>
      </c>
      <c r="H15" s="13" t="inlineStr">
        <is>
          <t>PENDIENTE</t>
        </is>
      </c>
      <c r="I15" s="13" t="inlineStr"/>
      <c r="J15" s="12" t="inlineStr">
        <is>
          <t>CA1. Existe evidencia de la sesión de validación.
CA2. Las observaciones quedan registradas.
CA3. Se indica qué observaciones se atendieron.
CA4. Existe una aceptación formal de la aplicación.</t>
        </is>
      </c>
      <c r="K15" s="12" t="inlineStr">
        <is>
          <t>Devolver al responsable para subsanar los criterios no cumplidos</t>
        </is>
      </c>
    </row>
    <row r="16" ht="36" customHeight="1">
      <c r="A16" s="8" t="inlineStr">
        <is>
          <t>HU-19</t>
        </is>
      </c>
      <c r="B16" s="9" t="inlineStr">
        <is>
          <t>HU-19</t>
        </is>
      </c>
      <c r="C16" s="10" t="inlineStr">
        <is>
          <t>María Camila</t>
        </is>
      </c>
      <c r="D16" s="10" t="inlineStr">
        <is>
          <t>QA</t>
        </is>
      </c>
      <c r="E16" s="10" t="inlineStr">
        <is>
          <t>Media</t>
        </is>
      </c>
      <c r="F16" s="10" t="n">
        <v>3</v>
      </c>
      <c r="G16" s="9" t="inlineStr">
        <is>
          <t>5. Resultados: aplicación, pruebas, validación, beneficio, lecciones y sostenimiento</t>
        </is>
      </c>
      <c r="H16" s="10" t="inlineStr">
        <is>
          <t>PENDIENTE</t>
        </is>
      </c>
      <c r="I16" s="10" t="inlineStr"/>
      <c r="J16" s="9" t="inlineStr">
        <is>
          <t>CA1. Se muestra el beneficio con su cálculo frente a la línea base.
CA2. Se registran al menos cinco lecciones aprendidas.
CA3. El plan de sostenimiento indica responsables y frecuencia.
CA4. Existe un acta de cierre.
CA5. La información queda en Google Sheets.</t>
        </is>
      </c>
      <c r="K16" s="9" t="inlineStr">
        <is>
          <t>Devolver al responsable para subsanar los criterios no cumplidos</t>
        </is>
      </c>
    </row>
    <row r="17" ht="36" customHeight="1">
      <c r="A17" s="11" t="inlineStr">
        <is>
          <t>HU-20</t>
        </is>
      </c>
      <c r="B17" s="12" t="inlineStr">
        <is>
          <t>HU-20</t>
        </is>
      </c>
      <c r="C17" s="13" t="inlineStr">
        <is>
          <t>Juan José</t>
        </is>
      </c>
      <c r="D17" s="13" t="inlineStr">
        <is>
          <t>Desarrollador</t>
        </is>
      </c>
      <c r="E17" s="13" t="inlineStr">
        <is>
          <t>Alta</t>
        </is>
      </c>
      <c r="F17" s="13" t="n">
        <v>3</v>
      </c>
      <c r="G17" s="12" t="inlineStr">
        <is>
          <t>6. Exposición y demostración en vivo</t>
        </is>
      </c>
      <c r="H17" s="13" t="inlineStr">
        <is>
          <t>PENDIENTE</t>
        </is>
      </c>
      <c r="I17" s="13" t="inlineStr"/>
      <c r="J17" s="12" t="inlineStr">
        <is>
          <t>CA1. La presentación tiene máximo 8 diapositivas.
CA2. Todos los integrantes tienen una parte asignada.
CA3. El pitch dura máximo 60 segundos.
CA4. La demostración genera el tablero con un archivo nuevo.</t>
        </is>
      </c>
      <c r="K17" s="12" t="inlineStr">
        <is>
          <t>Devolver al responsable para subsanar los criterios no cumplidos</t>
        </is>
      </c>
    </row>
  </sheetData>
  <mergeCells count="3">
    <mergeCell ref="A2:K2"/>
    <mergeCell ref="A1:K1"/>
    <mergeCell ref="A3:K3"/>
  </mergeCells>
  <conditionalFormatting sqref="H8:H17">
    <cfRule type="cellIs" priority="1" operator="equal" dxfId="0" stopIfTrue="1">
      <formula>"APROBADO"</formula>
    </cfRule>
    <cfRule type="cellIs" priority="2" operator="equal" dxfId="1" stopIfTrue="1">
      <formula>"RECHAZADO"</formula>
    </cfRule>
    <cfRule type="cellIs" priority="3" operator="equal" dxfId="2" stopIfTrue="1">
      <formula>"EN REVISIÓN"</formula>
    </cfRule>
    <cfRule type="cellIs" priority="4" operator="equal" dxfId="3" stopIfTrue="1">
      <formula>"PENDIENTE"</formula>
    </cfRule>
  </conditionalFormatting>
  <dataValidations count="1">
    <dataValidation sqref="H8:H17" showDropDown="0" showInputMessage="0" showErrorMessage="0" allowBlank="1" errorTitle="Estado Inválido" error="Selecciona: APROBADO, RECHAZADO, EN REVISIÓN o PENDIENTE." type="list">
      <formula1>"APROBADO,RECHAZADO,EN REVISIÓN,PENDIENTE"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10" customWidth="1" min="1" max="1"/>
    <col width="36" customWidth="1" min="2" max="2"/>
    <col width="16" customWidth="1" min="3" max="3"/>
    <col width="18" customWidth="1" min="4" max="4"/>
    <col width="14" customWidth="1" min="5" max="5"/>
    <col width="12" customWidth="1" min="6" max="6"/>
    <col width="10" customWidth="1" min="7" max="7"/>
    <col width="26" customWidth="1" min="8" max="8"/>
    <col width="32" customWidth="1" min="9" max="9"/>
    <col width="22" customWidth="1" min="10" max="10"/>
    <col width="15" customWidth="1" min="11" max="11"/>
    <col width="52" customWidth="1" min="12" max="12"/>
  </cols>
  <sheetData>
    <row r="1" ht="25" customHeight="1">
      <c r="A1" s="1" t="inlineStr">
        <is>
          <t>PANADERÍA SAN NICOLÁS · CONSTRUCCIÓN TÉCNICA DE LA APLICACIÓN WEB</t>
        </is>
      </c>
    </row>
    <row r="2" ht="20" customHeight="1">
      <c r="A2" s="2" t="inlineStr">
        <is>
          <t>HISTORIAS DE LA APLICACIÓN (HU-01 A HU-16) · REVISA: MARÍA CAMILA (QA)</t>
        </is>
      </c>
    </row>
    <row r="3" ht="18" customHeight="1">
      <c r="A3" s="3" t="inlineStr">
        <is>
          <t>Cada historia agrega una parte del producto de software y queda como commit en GitHub | Usa el desplegable en 'Estado QA'</t>
        </is>
      </c>
    </row>
    <row r="5">
      <c r="A5" s="4" t="inlineStr">
        <is>
          <t>Total HU:</t>
        </is>
      </c>
      <c r="B5" s="5" t="n">
        <v>16</v>
      </c>
      <c r="C5" s="4" t="inlineStr">
        <is>
          <t>Puntos Totales:</t>
        </is>
      </c>
      <c r="D5" s="5">
        <f>SUM(G8:G23)</f>
        <v/>
      </c>
      <c r="E5" s="4" t="inlineStr">
        <is>
          <t>Aprobadas:</t>
        </is>
      </c>
      <c r="F5" s="5">
        <f>COUNTIF(J8:J23, "APROBADO")</f>
        <v/>
      </c>
      <c r="G5" s="4" t="inlineStr">
        <is>
          <t>Rechazadas:</t>
        </is>
      </c>
      <c r="H5" s="5">
        <f>COUNTIF(J8:J23, "RECHAZADO")</f>
        <v/>
      </c>
      <c r="I5" s="4" t="inlineStr">
        <is>
          <t>% Aprobación:</t>
        </is>
      </c>
      <c r="J5" s="6">
        <f>F5/B5</f>
        <v/>
      </c>
    </row>
    <row r="7" ht="28" customHeight="1">
      <c r="A7" s="7" t="inlineStr">
        <is>
          <t>ID</t>
        </is>
      </c>
      <c r="B7" s="7" t="inlineStr">
        <is>
          <t>Historia de la Aplicación</t>
        </is>
      </c>
      <c r="C7" s="7" t="inlineStr">
        <is>
          <t>Responsable</t>
        </is>
      </c>
      <c r="D7" s="7" t="inlineStr">
        <is>
          <t>Revisa</t>
        </is>
      </c>
      <c r="E7" s="7" t="inlineStr">
        <is>
          <t>Tipo</t>
        </is>
      </c>
      <c r="F7" s="7" t="inlineStr">
        <is>
          <t>Prioridad</t>
        </is>
      </c>
      <c r="G7" s="7" t="inlineStr">
        <is>
          <t>Puntos</t>
        </is>
      </c>
      <c r="H7" s="7" t="inlineStr">
        <is>
          <t>Sprint y Fecha</t>
        </is>
      </c>
      <c r="I7" s="7" t="inlineStr">
        <is>
          <t>Evidencia / Commit en GitHub</t>
        </is>
      </c>
      <c r="J7" s="7" t="inlineStr">
        <is>
          <t>Estado QA (Desplegable)</t>
        </is>
      </c>
      <c r="K7" s="7" t="inlineStr">
        <is>
          <t>Fecha Revisión</t>
        </is>
      </c>
      <c r="L7" s="7" t="inlineStr">
        <is>
          <t>Criterios de Aceptación a Verificar</t>
        </is>
      </c>
    </row>
    <row r="8" ht="40" customHeight="1">
      <c r="A8" s="8" t="inlineStr">
        <is>
          <t>HU-01</t>
        </is>
      </c>
      <c r="B8" s="9" t="inlineStr">
        <is>
          <t>Crear la estructura y la arquitectura de la aplicación</t>
        </is>
      </c>
      <c r="C8" s="10" t="inlineStr">
        <is>
          <t>Iván Santiago</t>
        </is>
      </c>
      <c r="D8" s="10" t="inlineStr">
        <is>
          <t>María Camila (QA)</t>
        </is>
      </c>
      <c r="E8" s="10" t="inlineStr">
        <is>
          <t>Técnica (base de la aplicación)</t>
        </is>
      </c>
      <c r="F8" s="10" t="inlineStr">
        <is>
          <t>Alta</t>
        </is>
      </c>
      <c r="G8" s="10" t="n">
        <v>3</v>
      </c>
      <c r="H8" s="10" t="inlineStr">
        <is>
          <t>Sprint 2 · martes 27 de octubre de 2026</t>
        </is>
      </c>
      <c r="I8" s="9" t="inlineStr">
        <is>
          <t>feat(HU-01): estructura de la app, navegación y base de publ</t>
        </is>
      </c>
      <c r="J8" s="10" t="inlineStr">
        <is>
          <t>PENDIENTE</t>
        </is>
      </c>
      <c r="K8" s="10" t="inlineStr"/>
      <c r="L8" s="9" t="inlineStr">
        <is>
          <t>CA1. El repositorio tiene las carpetas Frontend/, Backend/ y Docs/ con el código de esta historia.
CA2. Al abrir Frontend/index.html se ven los módulos Tablero y Cargar datos y se puede pasar de uno a otro.
CA3. Docs/Arquitectura.md y Docs/Decisiones_Tecnicas.md explican la arquitectura y por qué se eligió la tecnología.
CA4. El README describe la arquitectura real (sin Google Sheets).</t>
        </is>
      </c>
    </row>
    <row r="9" ht="40" customHeight="1">
      <c r="A9" s="11" t="inlineStr">
        <is>
          <t>HU-02</t>
        </is>
      </c>
      <c r="B9" s="12" t="inlineStr">
        <is>
          <t>Diseñar la plantilla de Excel y el diccionario de datos</t>
        </is>
      </c>
      <c r="C9" s="13" t="inlineStr">
        <is>
          <t>Juan José</t>
        </is>
      </c>
      <c r="D9" s="13" t="inlineStr">
        <is>
          <t>María Camila (QA)</t>
        </is>
      </c>
      <c r="E9" s="13" t="inlineStr">
        <is>
          <t>Técnica (base de la aplicación)</t>
        </is>
      </c>
      <c r="F9" s="13" t="inlineStr">
        <is>
          <t>Alta</t>
        </is>
      </c>
      <c r="G9" s="13" t="n">
        <v>2</v>
      </c>
      <c r="H9" s="13" t="inlineStr">
        <is>
          <t>Sprint 2 · martes 27 de octubre de 2026</t>
        </is>
      </c>
      <c r="I9" s="12" t="inlineStr">
        <is>
          <t>feat(HU-02): plantilla de Excel y diccionario de datos</t>
        </is>
      </c>
      <c r="J9" s="13" t="inlineStr">
        <is>
          <t>PENDIENTE</t>
        </is>
      </c>
      <c r="K9" s="13" t="inlineStr"/>
      <c r="L9" s="12" t="inlineStr">
        <is>
          <t>CA1. La plantilla tiene las 9 hojas con los encabezados del diccionario.
CA2. Las tablas Dim traen los valores de los supuestos de simulación.
CA3. El botón descarga la plantilla desde la aplicación.
CA4. El diccionario documenta cada campo y las fórmulas de las fichas técnicas.</t>
        </is>
      </c>
    </row>
    <row r="10" ht="40" customHeight="1">
      <c r="A10" s="8" t="inlineStr">
        <is>
          <t>HU-03</t>
        </is>
      </c>
      <c r="B10" s="9" t="inlineStr">
        <is>
          <t>Simular un mes de datos del proceso</t>
        </is>
      </c>
      <c r="C10" s="10" t="inlineStr">
        <is>
          <t>María Camila</t>
        </is>
      </c>
      <c r="D10" s="10" t="inlineStr">
        <is>
          <t>María Camila (QA)</t>
        </is>
      </c>
      <c r="E10" s="10" t="inlineStr">
        <is>
          <t>Técnica (base de la aplicación)</t>
        </is>
      </c>
      <c r="F10" s="10" t="inlineStr">
        <is>
          <t>Alta</t>
        </is>
      </c>
      <c r="G10" s="10" t="n">
        <v>5</v>
      </c>
      <c r="H10" s="10" t="inlineStr">
        <is>
          <t>Sprint 2 · martes 27 de octubre de 2026</t>
        </is>
      </c>
      <c r="I10" s="9" t="inlineStr">
        <is>
          <t>feat(HU-03): simulación de Montecarlo de septiembre de 2026</t>
        </is>
      </c>
      <c r="J10" s="10" t="inlineStr">
        <is>
          <t>PENDIENTE</t>
        </is>
      </c>
      <c r="K10" s="10" t="inlineStr"/>
      <c r="L10" s="9" t="inlineStr">
        <is>
          <t>CA1. El script genera el mismo archivo cada vez que se ejecuta con la misma semilla.
CA2. El libro tiene la estructura de la plantilla y la hoja Verificacion (OEE 67,70 %, SLA 92,11 %, % no vendido 2,27 %, productividad 8,03).
CA3. El archivo se declara como simulado con autorización del docente.
CA4. El botón «Descargar datos simulados» funciona.</t>
        </is>
      </c>
    </row>
    <row r="11" ht="40" customHeight="1">
      <c r="A11" s="11" t="inlineStr">
        <is>
          <t>HU-04</t>
        </is>
      </c>
      <c r="B11" s="12" t="inlineStr">
        <is>
          <t>Cargar el libro de Excel</t>
        </is>
      </c>
      <c r="C11" s="13" t="inlineStr">
        <is>
          <t>Juan José</t>
        </is>
      </c>
      <c r="D11" s="13" t="inlineStr">
        <is>
          <t>María Camila (QA)</t>
        </is>
      </c>
      <c r="E11" s="13" t="inlineStr">
        <is>
          <t>De usuario (lo que ve la panadería)</t>
        </is>
      </c>
      <c r="F11" s="13" t="inlineStr">
        <is>
          <t>Alta</t>
        </is>
      </c>
      <c r="G11" s="13" t="n">
        <v>3</v>
      </c>
      <c r="H11" s="13" t="inlineStr">
        <is>
          <t>Sprint 2 · martes 27 de octubre de 2026</t>
        </is>
      </c>
      <c r="I11" s="12" t="inlineStr">
        <is>
          <t>feat(HU-04): leer el libro de Excel en el navegador</t>
        </is>
      </c>
      <c r="J11" s="13" t="inlineStr">
        <is>
          <t>PENDIENTE</t>
        </is>
      </c>
      <c r="K11" s="13" t="inlineStr"/>
      <c r="L11" s="12" t="inlineStr">
        <is>
          <t>CA1. Al soltar un .xlsx la aplicación muestra sus hojas y número de filas.
CA2. Un archivo que no es Excel muestra un mensaje de error claro.
CA3. «Usar datos de ejemplo» carga el mes simulado.
CA4. npm test pasa (3 pruebas).</t>
        </is>
      </c>
    </row>
    <row r="12" ht="40" customHeight="1">
      <c r="A12" s="8" t="inlineStr">
        <is>
          <t>HU-05</t>
        </is>
      </c>
      <c r="B12" s="9" t="inlineStr">
        <is>
          <t>Reconocer las tablas y validar los datos</t>
        </is>
      </c>
      <c r="C12" s="10" t="inlineStr">
        <is>
          <t>Iván Santiago</t>
        </is>
      </c>
      <c r="D12" s="10" t="inlineStr">
        <is>
          <t>María Camila (QA)</t>
        </is>
      </c>
      <c r="E12" s="10" t="inlineStr">
        <is>
          <t>De usuario (lo que ve la panadería)</t>
        </is>
      </c>
      <c r="F12" s="10" t="inlineStr">
        <is>
          <t>Alta</t>
        </is>
      </c>
      <c r="G12" s="10" t="n">
        <v>5</v>
      </c>
      <c r="H12" s="10" t="inlineStr">
        <is>
          <t>Sprint 2 · martes 27 de octubre de 2026</t>
        </is>
      </c>
      <c r="I12" s="9" t="inlineStr">
        <is>
          <t>feat(HU-05): reconocer las tablas por sus columnas y validar</t>
        </is>
      </c>
      <c r="J12" s="10" t="inlineStr">
        <is>
          <t>PENDIENTE</t>
        </is>
      </c>
      <c r="K12" s="10" t="inlineStr"/>
      <c r="L12" s="9" t="inlineStr">
        <is>
          <t>CA1. Con el archivo de septiembre reconoce las 9 tablas y 0 filas con errores.
CA2. Reconoce la base del curso aunque las hojas cambien de nombre.
CA3. Una tanda con defectuosas mayores que producidas aparece rechazada con su número de fila.
CA4. npm test pasa (Tests/modelo.test.js).</t>
        </is>
      </c>
    </row>
    <row r="13" ht="40" customHeight="1">
      <c r="A13" s="11" t="inlineStr">
        <is>
          <t>HU-06</t>
        </is>
      </c>
      <c r="B13" s="12" t="inlineStr">
        <is>
          <t>Ver el OEE del horno (prototipo v0)</t>
        </is>
      </c>
      <c r="C13" s="13" t="inlineStr">
        <is>
          <t>Iván Santiago</t>
        </is>
      </c>
      <c r="D13" s="13" t="inlineStr">
        <is>
          <t>María Camila (QA)</t>
        </is>
      </c>
      <c r="E13" s="13" t="inlineStr">
        <is>
          <t>De usuario (lo que ve la panadería)</t>
        </is>
      </c>
      <c r="F13" s="13" t="inlineStr">
        <is>
          <t>Alta</t>
        </is>
      </c>
      <c r="G13" s="13" t="n">
        <v>8</v>
      </c>
      <c r="H13" s="13" t="inlineStr">
        <is>
          <t>Sprint 2 · martes 27 de octubre de 2026</t>
        </is>
      </c>
      <c r="I13" s="12" t="inlineStr">
        <is>
          <t xml:space="preserve">feat(HU-06): OEE del horno — prototipo v0 publicado en Apps </t>
        </is>
      </c>
      <c r="J13" s="13" t="inlineStr">
        <is>
          <t>PENDIENTE</t>
        </is>
      </c>
      <c r="K13" s="13" t="inlineStr"/>
      <c r="L13" s="12" t="inlineStr">
        <is>
          <t>CA1. Con septiembre: OEE 67,7 % (A 89,9 %, R 78,6 %, Q 95,8 %).
CA2. Con la base del curso: OEE 61,89 %.
CA3. Con octubre (archivo no usado para desarrollar): OEE 71,1 % y 42 turnos.
CA4. El prototipo v0 abre desde la URL /exec de Apps Script.
CA5. npm test pasa (Tests/oee.test.js).</t>
        </is>
      </c>
    </row>
    <row r="14" ht="40" customHeight="1">
      <c r="A14" s="8" t="inlineStr">
        <is>
          <t>HU-07</t>
        </is>
      </c>
      <c r="B14" s="9" t="inlineStr">
        <is>
          <t>Medir el SLA de pedidos (OTIF)</t>
        </is>
      </c>
      <c r="C14" s="10" t="inlineStr">
        <is>
          <t>Juan José</t>
        </is>
      </c>
      <c r="D14" s="10" t="inlineStr">
        <is>
          <t>María Camila (QA)</t>
        </is>
      </c>
      <c r="E14" s="10" t="inlineStr">
        <is>
          <t>De usuario (lo que ve la panadería)</t>
        </is>
      </c>
      <c r="F14" s="10" t="inlineStr">
        <is>
          <t>Alta</t>
        </is>
      </c>
      <c r="G14" s="10" t="n">
        <v>3</v>
      </c>
      <c r="H14" s="10" t="inlineStr">
        <is>
          <t>Sprint 3 · miércoles 28 de octubre de 2026</t>
        </is>
      </c>
      <c r="I14" s="9" t="inlineStr">
        <is>
          <t>feat(HU-07): SLA de pedidos (OTIF)</t>
        </is>
      </c>
      <c r="J14" s="10" t="inlineStr">
        <is>
          <t>PENDIENTE</t>
        </is>
      </c>
      <c r="K14" s="10" t="inlineStr"/>
      <c r="L14" s="9" t="inlineStr">
        <is>
          <t>CA1. Con septiembre: SLA 92,1 % (70 de 76 pedidos).
CA2. Un pedido entregado un minuto tarde o incompleto no cumple.
CA3. npm test pasa (Tests/sla.test.js).</t>
        </is>
      </c>
    </row>
    <row r="15" ht="40" customHeight="1">
      <c r="A15" s="11" t="inlineStr">
        <is>
          <t>HU-08</t>
        </is>
      </c>
      <c r="B15" s="12" t="inlineStr">
        <is>
          <t>Medir el % de producto no vendido</t>
        </is>
      </c>
      <c r="C15" s="13" t="inlineStr">
        <is>
          <t>Juan José</t>
        </is>
      </c>
      <c r="D15" s="13" t="inlineStr">
        <is>
          <t>María Camila (QA)</t>
        </is>
      </c>
      <c r="E15" s="13" t="inlineStr">
        <is>
          <t>De usuario (lo que ve la panadería)</t>
        </is>
      </c>
      <c r="F15" s="13" t="inlineStr">
        <is>
          <t>Alta</t>
        </is>
      </c>
      <c r="G15" s="13" t="n">
        <v>3</v>
      </c>
      <c r="H15" s="13" t="inlineStr">
        <is>
          <t>Sprint 3 · miércoles 28 de octubre de 2026</t>
        </is>
      </c>
      <c r="I15" s="12" t="inlineStr">
        <is>
          <t>feat(HU-08): % de producto no vendido</t>
        </is>
      </c>
      <c r="J15" s="13" t="inlineStr">
        <is>
          <t>PENDIENTE</t>
        </is>
      </c>
      <c r="K15" s="13" t="inlineStr"/>
      <c r="L15" s="12" t="inlineStr">
        <is>
          <t>CA1. Con septiembre: 2,3 % (dato coherente con la simulación).
CA2. Reconoce la tabla de ventas aunque la hoja tenga otro nombre.
CA3. npm test pasa (Tests/no-vendido.test.js).</t>
        </is>
      </c>
    </row>
    <row r="16" ht="40" customHeight="1">
      <c r="A16" s="8" t="inlineStr">
        <is>
          <t>HU-09</t>
        </is>
      </c>
      <c r="B16" s="9" t="inlineStr">
        <is>
          <t>Medir la productividad de mano de obra</t>
        </is>
      </c>
      <c r="C16" s="10" t="inlineStr">
        <is>
          <t>Juan José</t>
        </is>
      </c>
      <c r="D16" s="10" t="inlineStr">
        <is>
          <t>María Camila (QA)</t>
        </is>
      </c>
      <c r="E16" s="10" t="inlineStr">
        <is>
          <t>De usuario (lo que ve la panadería)</t>
        </is>
      </c>
      <c r="F16" s="10" t="inlineStr">
        <is>
          <t>Media</t>
        </is>
      </c>
      <c r="G16" s="10" t="n">
        <v>3</v>
      </c>
      <c r="H16" s="10" t="inlineStr">
        <is>
          <t>Sprint 3 · miércoles 28 de octubre de 2026</t>
        </is>
      </c>
      <c r="I16" s="9" t="inlineStr">
        <is>
          <t>feat(HU-09): productividad de mano de obra</t>
        </is>
      </c>
      <c r="J16" s="10" t="inlineStr">
        <is>
          <t>PENDIENTE</t>
        </is>
      </c>
      <c r="K16" s="10" t="inlineStr"/>
      <c r="L16" s="9" t="inlineStr">
        <is>
          <t>CA1. Con septiembre: 8,03 trenzas/h-h con 652,5 horas-hombre.
CA2. npm test pasa (Tests/productividad.test.js).</t>
        </is>
      </c>
    </row>
    <row r="17" ht="40" customHeight="1">
      <c r="A17" s="11" t="inlineStr">
        <is>
          <t>HU-10</t>
        </is>
      </c>
      <c r="B17" s="12" t="inlineStr">
        <is>
          <t>Ver el semáforo y ajustar las metas</t>
        </is>
      </c>
      <c r="C17" s="13" t="inlineStr">
        <is>
          <t>Juan José</t>
        </is>
      </c>
      <c r="D17" s="13" t="inlineStr">
        <is>
          <t>María Camila (QA)</t>
        </is>
      </c>
      <c r="E17" s="13" t="inlineStr">
        <is>
          <t>De usuario (lo que ve la panadería)</t>
        </is>
      </c>
      <c r="F17" s="13" t="inlineStr">
        <is>
          <t>Alta</t>
        </is>
      </c>
      <c r="G17" s="13" t="n">
        <v>3</v>
      </c>
      <c r="H17" s="13" t="inlineStr">
        <is>
          <t>Sprint 3 · miércoles 28 de octubre de 2026</t>
        </is>
      </c>
      <c r="I17" s="12" t="inlineStr">
        <is>
          <t>feat(HU-10): semáforos y metas de las fichas técnicas</t>
        </is>
      </c>
      <c r="J17" s="13" t="inlineStr">
        <is>
          <t>PENDIENTE</t>
        </is>
      </c>
      <c r="K17" s="13" t="inlineStr"/>
      <c r="L17" s="12" t="inlineStr">
        <is>
          <t>CA1. Con septiembre el OEE se ve verde, la disponibilidad amarilla y el % no vendido verde.
CA2. Al cambiar la meta del OEE a 70 la tarjeta pasa a amarillo y se conserva al recargar.
CA3. npm test pasa (Tests/semaforo.test.js).</t>
        </is>
      </c>
    </row>
    <row r="18" ht="40" customHeight="1">
      <c r="A18" s="8" t="inlineStr">
        <is>
          <t>HU-11</t>
        </is>
      </c>
      <c r="B18" s="9" t="inlineStr">
        <is>
          <t>Filtrar por fechas, turno y equipo</t>
        </is>
      </c>
      <c r="C18" s="10" t="inlineStr">
        <is>
          <t>Iván Santiago</t>
        </is>
      </c>
      <c r="D18" s="10" t="inlineStr">
        <is>
          <t>María Camila (QA)</t>
        </is>
      </c>
      <c r="E18" s="10" t="inlineStr">
        <is>
          <t>De usuario (lo que ve la panadería)</t>
        </is>
      </c>
      <c r="F18" s="10" t="inlineStr">
        <is>
          <t>Media</t>
        </is>
      </c>
      <c r="G18" s="10" t="n">
        <v>3</v>
      </c>
      <c r="H18" s="10" t="inlineStr">
        <is>
          <t>Sprint 3 · miércoles 28 de octubre de 2026</t>
        </is>
      </c>
      <c r="I18" s="9" t="inlineStr">
        <is>
          <t>feat(HU-11): filtros por fechas, turno y equipo</t>
        </is>
      </c>
      <c r="J18" s="10" t="inlineStr">
        <is>
          <t>PENDIENTE</t>
        </is>
      </c>
      <c r="K18" s="10" t="inlineStr"/>
      <c r="L18" s="9" t="inlineStr">
        <is>
          <t>CA1. Del 7 al 11 de septiembre se ven 5 días y 10 turnos.
CA2. Con el turno T1 se ven 22 turnos y el % no vendido en N/D.
CA3. npm test pasa (Tests/filtros.test.js).</t>
        </is>
      </c>
    </row>
    <row r="19" ht="40" customHeight="1">
      <c r="A19" s="11" t="inlineStr">
        <is>
          <t>HU-12</t>
        </is>
      </c>
      <c r="B19" s="12" t="inlineStr">
        <is>
          <t>Ver los gráficos del tablero</t>
        </is>
      </c>
      <c r="C19" s="13" t="inlineStr">
        <is>
          <t>Iván Santiago</t>
        </is>
      </c>
      <c r="D19" s="13" t="inlineStr">
        <is>
          <t>María Camila (QA)</t>
        </is>
      </c>
      <c r="E19" s="13" t="inlineStr">
        <is>
          <t>De usuario (lo que ve la panadería)</t>
        </is>
      </c>
      <c r="F19" s="13" t="inlineStr">
        <is>
          <t>Media</t>
        </is>
      </c>
      <c r="G19" s="13" t="n">
        <v>5</v>
      </c>
      <c r="H19" s="13" t="inlineStr">
        <is>
          <t>Sprint 3 · jueves 29 de octubre de 2026</t>
        </is>
      </c>
      <c r="I19" s="12" t="inlineStr">
        <is>
          <t>feat(HU-12): gráficos del tablero</t>
        </is>
      </c>
      <c r="J19" s="13" t="inlineStr">
        <is>
          <t>PENDIENTE</t>
        </is>
      </c>
      <c r="K19" s="13" t="inlineStr"/>
      <c r="L19" s="12" t="inlineStr">
        <is>
          <t>CA1. Con septiembre se dibujan 6 gráficos sin errores.
CA2. El Pareto queda ordenado de mayor a menor y su acumulado llega a 100 %.
CA3. npm test pasa (Tests/graficos.test.js).</t>
        </is>
      </c>
    </row>
    <row r="20" ht="40" customHeight="1">
      <c r="A20" s="8" t="inlineStr">
        <is>
          <t>HU-13</t>
        </is>
      </c>
      <c r="B20" s="9" t="inlineStr">
        <is>
          <t>Leer los hallazgos automáticos</t>
        </is>
      </c>
      <c r="C20" s="10" t="inlineStr">
        <is>
          <t>Juan José</t>
        </is>
      </c>
      <c r="D20" s="10" t="inlineStr">
        <is>
          <t>María Camila (QA)</t>
        </is>
      </c>
      <c r="E20" s="10" t="inlineStr">
        <is>
          <t>De usuario (lo que ve la panadería)</t>
        </is>
      </c>
      <c r="F20" s="10" t="inlineStr">
        <is>
          <t>Media</t>
        </is>
      </c>
      <c r="G20" s="10" t="n">
        <v>3</v>
      </c>
      <c r="H20" s="10" t="inlineStr">
        <is>
          <t>Sprint 3 · jueves 29 de octubre de 2026</t>
        </is>
      </c>
      <c r="I20" s="9" t="inlineStr">
        <is>
          <t>feat(HU-13): hallazgos automáticos</t>
        </is>
      </c>
      <c r="J20" s="10" t="inlineStr">
        <is>
          <t>PENDIENTE</t>
        </is>
      </c>
      <c r="K20" s="10" t="inlineStr"/>
      <c r="L20" s="9" t="inlineStr">
        <is>
          <t>CA1. Con septiembre se muestran 8 hallazgos coherentes con las tarjetas.
CA2. Cuando el filtro no deja registros, el panel lo dice.</t>
        </is>
      </c>
    </row>
    <row r="21" ht="40" customHeight="1">
      <c r="A21" s="11" t="inlineStr">
        <is>
          <t>HU-14</t>
        </is>
      </c>
      <c r="B21" s="12" t="inlineStr">
        <is>
          <t>Exportar e imprimir el tablero</t>
        </is>
      </c>
      <c r="C21" s="13" t="inlineStr">
        <is>
          <t>Juan José</t>
        </is>
      </c>
      <c r="D21" s="13" t="inlineStr">
        <is>
          <t>María Camila (QA)</t>
        </is>
      </c>
      <c r="E21" s="13" t="inlineStr">
        <is>
          <t>De usuario (lo que ve la panadería)</t>
        </is>
      </c>
      <c r="F21" s="13" t="inlineStr">
        <is>
          <t>Baja</t>
        </is>
      </c>
      <c r="G21" s="13" t="n">
        <v>2</v>
      </c>
      <c r="H21" s="13" t="inlineStr">
        <is>
          <t>Sprint 3 · jueves 29 de octubre de 2026</t>
        </is>
      </c>
      <c r="I21" s="12" t="inlineStr">
        <is>
          <t>feat(HU-14): exportar CSV e imprimir el tablero</t>
        </is>
      </c>
      <c r="J21" s="13" t="inlineStr">
        <is>
          <t>PENDIENTE</t>
        </is>
      </c>
      <c r="K21" s="13" t="inlineStr"/>
      <c r="L21" s="12" t="inlineStr">
        <is>
          <t>CA1. El CSV abre en Excel con columnas separadas y decimales con coma.
CA2. La impresión muestra tarjetas y gráficos sin los botones.</t>
        </is>
      </c>
    </row>
    <row r="22" ht="40" customHeight="1">
      <c r="A22" s="8" t="inlineStr">
        <is>
          <t>HU-15</t>
        </is>
      </c>
      <c r="B22" s="9" t="inlineStr">
        <is>
          <t>Probar la aplicación con un archivo distinto</t>
        </is>
      </c>
      <c r="C22" s="10" t="inlineStr">
        <is>
          <t>María Camila</t>
        </is>
      </c>
      <c r="D22" s="10" t="inlineStr">
        <is>
          <t>María Camila (QA)</t>
        </is>
      </c>
      <c r="E22" s="10" t="inlineStr">
        <is>
          <t>Técnica (base de la aplicación)</t>
        </is>
      </c>
      <c r="F22" s="10" t="inlineStr">
        <is>
          <t>Alta</t>
        </is>
      </c>
      <c r="G22" s="10" t="n">
        <v>5</v>
      </c>
      <c r="H22" s="10" t="inlineStr">
        <is>
          <t>Sprint 3 · jueves 29 de octubre de 2026</t>
        </is>
      </c>
      <c r="I22" s="9" t="inlineStr">
        <is>
          <t>test(HU-15): plan de pruebas y verificación con un archivo d</t>
        </is>
      </c>
      <c r="J22" s="10" t="inlineStr">
        <is>
          <t>PENDIENTE</t>
        </is>
      </c>
      <c r="K22" s="10" t="inlineStr"/>
      <c r="L22" s="9" t="inlineStr">
        <is>
          <t>CA1. Con octubre: 42 turnos y los 7 indicadores iguales a la hoja Verificacion.
CA2. Con la base del curso: OEE 61,9 % y gráfico por equipo.
CA3. npm test: 33 pruebas aprobadas.
CA4. Los casos E1 a E11 quedan registrados con su resultado.</t>
        </is>
      </c>
    </row>
    <row r="23" ht="40" customHeight="1">
      <c r="A23" s="11" t="inlineStr">
        <is>
          <t>HU-16</t>
        </is>
      </c>
      <c r="B23" s="12" t="inlineStr">
        <is>
          <t>Publicar el prototipo final</t>
        </is>
      </c>
      <c r="C23" s="13" t="inlineStr">
        <is>
          <t>Iván Santiago</t>
        </is>
      </c>
      <c r="D23" s="13" t="inlineStr">
        <is>
          <t>María Camila (QA)</t>
        </is>
      </c>
      <c r="E23" s="13" t="inlineStr">
        <is>
          <t>De usuario (lo que ve la panadería)</t>
        </is>
      </c>
      <c r="F23" s="13" t="inlineStr">
        <is>
          <t>Alta</t>
        </is>
      </c>
      <c r="G23" s="13" t="n">
        <v>3</v>
      </c>
      <c r="H23" s="13" t="inlineStr">
        <is>
          <t>Sprint 3 · jueves 29 de octubre de 2026</t>
        </is>
      </c>
      <c r="I23" s="12" t="inlineStr">
        <is>
          <t>feat(HU-16): prototipo final publicado en Apps Script y GitH</t>
        </is>
      </c>
      <c r="J23" s="13" t="inlineStr">
        <is>
          <t>PENDIENTE</t>
        </is>
      </c>
      <c r="K23" s="13" t="inlineStr"/>
      <c r="L23" s="12" t="inlineStr">
        <is>
          <t>CA1. La URL /exec abre la versión final y genera el tablero con el archivo de octubre.
CA2. El enlace de GitHub Pages abre la misma aplicación.
CA3. El manual explica cómo preparar los datos, generar y leer el tablero.</t>
        </is>
      </c>
    </row>
  </sheetData>
  <mergeCells count="3">
    <mergeCell ref="A3:L3"/>
    <mergeCell ref="A2:L2"/>
    <mergeCell ref="A1:L1"/>
  </mergeCells>
  <conditionalFormatting sqref="J8:J23">
    <cfRule type="cellIs" priority="1" operator="equal" dxfId="0" stopIfTrue="1">
      <formula>"APROBADO"</formula>
    </cfRule>
    <cfRule type="cellIs" priority="2" operator="equal" dxfId="1" stopIfTrue="1">
      <formula>"RECHAZADO"</formula>
    </cfRule>
    <cfRule type="cellIs" priority="3" operator="equal" dxfId="2" stopIfTrue="1">
      <formula>"EN REVISIÓN"</formula>
    </cfRule>
    <cfRule type="cellIs" priority="4" operator="equal" dxfId="3" stopIfTrue="1">
      <formula>"PENDIENTE"</formula>
    </cfRule>
  </conditionalFormatting>
  <dataValidations count="1">
    <dataValidation sqref="J8:J23" showDropDown="0" showInputMessage="0" showErrorMessage="0" allowBlank="1" type="list">
      <formula1>"APROBADO,RECHAZADO,EN REVISIÓN,PENDIENTE"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showGridLines="1" workbookViewId="0">
      <selection activeCell="A1" sqref="A1"/>
    </sheetView>
  </sheetViews>
  <sheetFormatPr baseColWidth="8" defaultRowHeight="15"/>
  <cols>
    <col width="14" customWidth="1" min="1" max="1"/>
    <col width="12" customWidth="1" min="2" max="2"/>
    <col width="12" customWidth="1" min="3" max="3"/>
    <col width="45" customWidth="1" min="4" max="4"/>
    <col width="42" customWidth="1" min="5" max="5"/>
    <col width="14" customWidth="1" min="6" max="6"/>
    <col width="20" customWidth="1" min="7" max="7"/>
    <col width="35" customWidth="1" min="8" max="8"/>
  </cols>
  <sheetData>
    <row r="1" ht="25" customHeight="1">
      <c r="A1" s="1" t="inlineStr">
        <is>
          <t>CHECKLIST INTEGRAL DE CRITERIOS DE ACEPTACIÓN (DoD - DEFINITION OF DONE)</t>
        </is>
      </c>
    </row>
    <row r="2" ht="18" customHeight="1">
      <c r="A2" s="3" t="inlineStr">
        <is>
          <t>Desglose exhaustivo de los criterios oficiales para validar cada entrega con datos comprobables.</t>
        </is>
      </c>
    </row>
    <row r="4" ht="28" customHeight="1">
      <c r="A4" s="7" t="inlineStr">
        <is>
          <t>Ámbito</t>
        </is>
      </c>
      <c r="B4" s="7" t="inlineStr">
        <is>
          <t>ID Historia</t>
        </is>
      </c>
      <c r="C4" s="7" t="inlineStr">
        <is>
          <t>ID Criterio</t>
        </is>
      </c>
      <c r="D4" s="7" t="inlineStr">
        <is>
          <t>Criterio de Aceptación Oficial</t>
        </is>
      </c>
      <c r="E4" s="7" t="inlineStr">
        <is>
          <t>¿Qué debe verificar Camila con lupa?</t>
        </is>
      </c>
      <c r="F4" s="7" t="inlineStr">
        <is>
          <t>Severidad</t>
        </is>
      </c>
      <c r="G4" s="7" t="inlineStr">
        <is>
          <t>¿Cumple? (Desplegable)</t>
        </is>
      </c>
      <c r="H4" s="7" t="inlineStr">
        <is>
          <t>Observaciones de Camila (QA)</t>
        </is>
      </c>
    </row>
    <row r="5" ht="26" customHeight="1">
      <c r="A5" s="11" t="inlineStr">
        <is>
          <t>Gestión</t>
        </is>
      </c>
      <c r="B5" s="11" t="inlineStr">
        <is>
          <t>HU-17, HU-18</t>
        </is>
      </c>
      <c r="C5" s="11" t="inlineStr">
        <is>
          <t>CA1</t>
        </is>
      </c>
      <c r="D5" s="12" t="inlineStr">
        <is>
          <t>Se presenta el radar del filtro de idoneidad.</t>
        </is>
      </c>
      <c r="E5" s="12" t="inlineStr">
        <is>
          <t>Verificar en informe y en Google Sheets con fuentes comprobables</t>
        </is>
      </c>
      <c r="F5" s="13" t="inlineStr">
        <is>
          <t>Alta</t>
        </is>
      </c>
      <c r="G5" s="13" t="inlineStr">
        <is>
          <t>PENDIENTE</t>
        </is>
      </c>
      <c r="H5" s="12" t="inlineStr"/>
    </row>
    <row r="6" ht="26" customHeight="1">
      <c r="A6" s="8" t="inlineStr">
        <is>
          <t>Gestión</t>
        </is>
      </c>
      <c r="B6" s="8" t="inlineStr">
        <is>
          <t>HU-17, HU-18</t>
        </is>
      </c>
      <c r="C6" s="8" t="inlineStr">
        <is>
          <t>CA2</t>
        </is>
      </c>
      <c r="D6" s="9" t="inlineStr">
        <is>
          <t>Cada entregable tiene su enfoque y su justificación.</t>
        </is>
      </c>
      <c r="E6" s="9" t="inlineStr">
        <is>
          <t>Verificar en informe y en Google Sheets con fuentes comprobables</t>
        </is>
      </c>
      <c r="F6" s="10" t="inlineStr">
        <is>
          <t>Alta</t>
        </is>
      </c>
      <c r="G6" s="10" t="inlineStr">
        <is>
          <t>PENDIENTE</t>
        </is>
      </c>
      <c r="H6" s="9" t="inlineStr"/>
    </row>
    <row r="7" ht="26" customHeight="1">
      <c r="A7" s="11" t="inlineStr">
        <is>
          <t>Gestión</t>
        </is>
      </c>
      <c r="B7" s="11" t="inlineStr">
        <is>
          <t>HU-17, HU-18</t>
        </is>
      </c>
      <c r="C7" s="11" t="inlineStr">
        <is>
          <t>CA3</t>
        </is>
      </c>
      <c r="D7" s="12" t="inlineStr">
        <is>
          <t>Se explica la forma de combinación de los enfoques.</t>
        </is>
      </c>
      <c r="E7" s="12" t="inlineStr">
        <is>
          <t>Verificar en informe y en Google Sheets con fuentes comprobables</t>
        </is>
      </c>
      <c r="F7" s="13" t="inlineStr">
        <is>
          <t>Alta</t>
        </is>
      </c>
      <c r="G7" s="13" t="inlineStr">
        <is>
          <t>PENDIENTE</t>
        </is>
      </c>
      <c r="H7" s="12" t="inlineStr"/>
    </row>
    <row r="8" ht="26" customHeight="1">
      <c r="A8" s="8" t="inlineStr">
        <is>
          <t>Gestión</t>
        </is>
      </c>
      <c r="B8" s="8" t="inlineStr">
        <is>
          <t>HU-17, HU-18</t>
        </is>
      </c>
      <c r="C8" s="8" t="inlineStr">
        <is>
          <t>CA4</t>
        </is>
      </c>
      <c r="D8" s="9" t="inlineStr">
        <is>
          <t>La información queda en Google Sheets.</t>
        </is>
      </c>
      <c r="E8" s="9" t="inlineStr">
        <is>
          <t>Verificar en informe y en Google Sheets con fuentes comprobables</t>
        </is>
      </c>
      <c r="F8" s="10" t="inlineStr">
        <is>
          <t>Alta</t>
        </is>
      </c>
      <c r="G8" s="10" t="inlineStr">
        <is>
          <t>PENDIENTE</t>
        </is>
      </c>
      <c r="H8" s="9" t="inlineStr"/>
    </row>
    <row r="9" ht="26" customHeight="1">
      <c r="A9" s="11" t="inlineStr">
        <is>
          <t>Gestión</t>
        </is>
      </c>
      <c r="B9" s="11" t="inlineStr">
        <is>
          <t>HU-19, HU-20</t>
        </is>
      </c>
      <c r="C9" s="11" t="inlineStr">
        <is>
          <t>CA1</t>
        </is>
      </c>
      <c r="D9" s="12" t="inlineStr">
        <is>
          <t>Cada historia tiene su categoría MoSCoW.</t>
        </is>
      </c>
      <c r="E9" s="12" t="inlineStr">
        <is>
          <t>Verificar en informe y en Google Sheets con fuentes comprobables</t>
        </is>
      </c>
      <c r="F9" s="13" t="inlineStr">
        <is>
          <t>Alta</t>
        </is>
      </c>
      <c r="G9" s="13" t="inlineStr">
        <is>
          <t>PENDIENTE</t>
        </is>
      </c>
      <c r="H9" s="12" t="inlineStr"/>
    </row>
    <row r="10" ht="26" customHeight="1">
      <c r="A10" s="8" t="inlineStr">
        <is>
          <t>Gestión</t>
        </is>
      </c>
      <c r="B10" s="8" t="inlineStr">
        <is>
          <t>HU-19, HU-20</t>
        </is>
      </c>
      <c r="C10" s="8" t="inlineStr">
        <is>
          <t>CA2</t>
        </is>
      </c>
      <c r="D10" s="9" t="inlineStr">
        <is>
          <t>Se muestra el porcentaje de esfuerzo del Must.</t>
        </is>
      </c>
      <c r="E10" s="9" t="inlineStr">
        <is>
          <t>Verificar en informe y en Google Sheets con fuentes comprobables</t>
        </is>
      </c>
      <c r="F10" s="10" t="inlineStr">
        <is>
          <t>Alta</t>
        </is>
      </c>
      <c r="G10" s="10" t="inlineStr">
        <is>
          <t>PENDIENTE</t>
        </is>
      </c>
      <c r="H10" s="9" t="inlineStr"/>
    </row>
    <row r="11" ht="26" customHeight="1">
      <c r="A11" s="11" t="inlineStr">
        <is>
          <t>Gestión</t>
        </is>
      </c>
      <c r="B11" s="11" t="inlineStr">
        <is>
          <t>HU-19, HU-20</t>
        </is>
      </c>
      <c r="C11" s="11" t="inlineStr">
        <is>
          <t>CA3</t>
        </is>
      </c>
      <c r="D11" s="12" t="inlineStr">
        <is>
          <t>El tablero Kanban tiene límites de WIP por columna.</t>
        </is>
      </c>
      <c r="E11" s="12" t="inlineStr">
        <is>
          <t>Verificar en informe y en Google Sheets con fuentes comprobables</t>
        </is>
      </c>
      <c r="F11" s="13" t="inlineStr">
        <is>
          <t>Alta</t>
        </is>
      </c>
      <c r="G11" s="13" t="inlineStr">
        <is>
          <t>PENDIENTE</t>
        </is>
      </c>
      <c r="H11" s="12" t="inlineStr"/>
    </row>
    <row r="12" ht="26" customHeight="1">
      <c r="A12" s="8" t="inlineStr">
        <is>
          <t>Gestión</t>
        </is>
      </c>
      <c r="B12" s="8" t="inlineStr">
        <is>
          <t>HU-19, HU-20</t>
        </is>
      </c>
      <c r="C12" s="8" t="inlineStr">
        <is>
          <t>CA4</t>
        </is>
      </c>
      <c r="D12" s="9" t="inlineStr">
        <is>
          <t>Se reportan las métricas de flujo.</t>
        </is>
      </c>
      <c r="E12" s="9" t="inlineStr">
        <is>
          <t>Verificar en informe y en Google Sheets con fuentes comprobables</t>
        </is>
      </c>
      <c r="F12" s="10" t="inlineStr">
        <is>
          <t>Alta</t>
        </is>
      </c>
      <c r="G12" s="10" t="inlineStr">
        <is>
          <t>PENDIENTE</t>
        </is>
      </c>
      <c r="H12" s="9" t="inlineStr"/>
    </row>
    <row r="13" ht="26" customHeight="1">
      <c r="A13" s="11" t="inlineStr">
        <is>
          <t>Gestión</t>
        </is>
      </c>
      <c r="B13" s="11" t="inlineStr">
        <is>
          <t>HU-21</t>
        </is>
      </c>
      <c r="C13" s="11" t="inlineStr">
        <is>
          <t>CA1</t>
        </is>
      </c>
      <c r="D13" s="12" t="inlineStr">
        <is>
          <t>Se muestran las tres capas y el Project Model Canvas.</t>
        </is>
      </c>
      <c r="E13" s="12" t="inlineStr">
        <is>
          <t>Verificar en informe y en Google Sheets con fuentes comprobables</t>
        </is>
      </c>
      <c r="F13" s="13" t="inlineStr">
        <is>
          <t>Alta</t>
        </is>
      </c>
      <c r="G13" s="13" t="inlineStr">
        <is>
          <t>PENDIENTE</t>
        </is>
      </c>
      <c r="H13" s="12" t="inlineStr"/>
    </row>
    <row r="14" ht="26" customHeight="1">
      <c r="A14" s="8" t="inlineStr">
        <is>
          <t>Gestión</t>
        </is>
      </c>
      <c r="B14" s="8" t="inlineStr">
        <is>
          <t>HU-21</t>
        </is>
      </c>
      <c r="C14" s="8" t="inlineStr">
        <is>
          <t>CA2</t>
        </is>
      </c>
      <c r="D14" s="9" t="inlineStr">
        <is>
          <t>La propuesta de valor encaja con los dolores del cliente.</t>
        </is>
      </c>
      <c r="E14" s="9" t="inlineStr">
        <is>
          <t>Verificar en informe y en Google Sheets con fuentes comprobables</t>
        </is>
      </c>
      <c r="F14" s="10" t="inlineStr">
        <is>
          <t>Alta</t>
        </is>
      </c>
      <c r="G14" s="10" t="inlineStr">
        <is>
          <t>PENDIENTE</t>
        </is>
      </c>
      <c r="H14" s="9" t="inlineStr"/>
    </row>
    <row r="15" ht="26" customHeight="1">
      <c r="A15" s="11" t="inlineStr">
        <is>
          <t>Gestión</t>
        </is>
      </c>
      <c r="B15" s="11" t="inlineStr">
        <is>
          <t>HU-21</t>
        </is>
      </c>
      <c r="C15" s="11" t="inlineStr">
        <is>
          <t>CA3</t>
        </is>
      </c>
      <c r="D15" s="12" t="inlineStr">
        <is>
          <t>Se describe la vía de escalamiento.</t>
        </is>
      </c>
      <c r="E15" s="12" t="inlineStr">
        <is>
          <t>Verificar en informe y en Google Sheets con fuentes comprobables</t>
        </is>
      </c>
      <c r="F15" s="13" t="inlineStr">
        <is>
          <t>Alta</t>
        </is>
      </c>
      <c r="G15" s="13" t="inlineStr">
        <is>
          <t>PENDIENTE</t>
        </is>
      </c>
      <c r="H15" s="12" t="inlineStr"/>
    </row>
    <row r="16" ht="26" customHeight="1">
      <c r="A16" s="8" t="inlineStr">
        <is>
          <t>Gestión</t>
        </is>
      </c>
      <c r="B16" s="8" t="inlineStr">
        <is>
          <t>HU-21</t>
        </is>
      </c>
      <c r="C16" s="8" t="inlineStr">
        <is>
          <t>CA4</t>
        </is>
      </c>
      <c r="D16" s="9" t="inlineStr">
        <is>
          <t>No se permite guardar un CANVAS completamente vacío.</t>
        </is>
      </c>
      <c r="E16" s="9" t="inlineStr">
        <is>
          <t>Verificar en informe y en Google Sheets con fuentes comprobables</t>
        </is>
      </c>
      <c r="F16" s="10" t="inlineStr">
        <is>
          <t>Alta</t>
        </is>
      </c>
      <c r="G16" s="10" t="inlineStr">
        <is>
          <t>PENDIENTE</t>
        </is>
      </c>
      <c r="H16" s="9" t="inlineStr"/>
    </row>
    <row r="17" ht="26" customHeight="1">
      <c r="A17" s="11" t="inlineStr">
        <is>
          <t>Gestión</t>
        </is>
      </c>
      <c r="B17" s="11" t="inlineStr">
        <is>
          <t>HU-21</t>
        </is>
      </c>
      <c r="C17" s="11" t="inlineStr">
        <is>
          <t>CA5</t>
        </is>
      </c>
      <c r="D17" s="12" t="inlineStr">
        <is>
          <t>La información queda en Google Sheets.</t>
        </is>
      </c>
      <c r="E17" s="12" t="inlineStr">
        <is>
          <t>Verificar en informe y en Google Sheets con fuentes comprobables</t>
        </is>
      </c>
      <c r="F17" s="13" t="inlineStr">
        <is>
          <t>Alta</t>
        </is>
      </c>
      <c r="G17" s="13" t="inlineStr">
        <is>
          <t>PENDIENTE</t>
        </is>
      </c>
      <c r="H17" s="12" t="inlineStr"/>
    </row>
    <row r="18" ht="26" customHeight="1">
      <c r="A18" s="8" t="inlineStr">
        <is>
          <t>Gestión</t>
        </is>
      </c>
      <c r="B18" s="8" t="inlineStr">
        <is>
          <t>HU-22</t>
        </is>
      </c>
      <c r="C18" s="8" t="inlineStr">
        <is>
          <t>CA1</t>
        </is>
      </c>
      <c r="D18" s="9" t="inlineStr">
        <is>
          <t>Se muestran las seis categorías PESTEL.</t>
        </is>
      </c>
      <c r="E18" s="9" t="inlineStr">
        <is>
          <t>Verificar en informe y en Google Sheets con fuentes comprobables</t>
        </is>
      </c>
      <c r="F18" s="10" t="inlineStr">
        <is>
          <t>Alta</t>
        </is>
      </c>
      <c r="G18" s="10" t="inlineStr">
        <is>
          <t>PENDIENTE</t>
        </is>
      </c>
      <c r="H18" s="9" t="inlineStr"/>
    </row>
    <row r="19" ht="26" customHeight="1">
      <c r="A19" s="11" t="inlineStr">
        <is>
          <t>Gestión</t>
        </is>
      </c>
      <c r="B19" s="11" t="inlineStr">
        <is>
          <t>HU-22</t>
        </is>
      </c>
      <c r="C19" s="11" t="inlineStr">
        <is>
          <t>CA2</t>
        </is>
      </c>
      <c r="D19" s="12" t="inlineStr">
        <is>
          <t>Cada factor tiene su fuente.</t>
        </is>
      </c>
      <c r="E19" s="12" t="inlineStr">
        <is>
          <t>Verificar en informe y en Google Sheets con fuentes comprobables</t>
        </is>
      </c>
      <c r="F19" s="13" t="inlineStr">
        <is>
          <t>Alta</t>
        </is>
      </c>
      <c r="G19" s="13" t="inlineStr">
        <is>
          <t>PENDIENTE</t>
        </is>
      </c>
      <c r="H19" s="12" t="inlineStr"/>
    </row>
    <row r="20" ht="26" customHeight="1">
      <c r="A20" s="8" t="inlineStr">
        <is>
          <t>Gestión</t>
        </is>
      </c>
      <c r="B20" s="8" t="inlineStr">
        <is>
          <t>HU-22</t>
        </is>
      </c>
      <c r="C20" s="8" t="inlineStr">
        <is>
          <t>CA3</t>
        </is>
      </c>
      <c r="D20" s="9" t="inlineStr">
        <is>
          <t>Los factores están priorizados.</t>
        </is>
      </c>
      <c r="E20" s="9" t="inlineStr">
        <is>
          <t>Verificar en informe y en Google Sheets con fuentes comprobables</t>
        </is>
      </c>
      <c r="F20" s="10" t="inlineStr">
        <is>
          <t>Alta</t>
        </is>
      </c>
      <c r="G20" s="10" t="inlineStr">
        <is>
          <t>PENDIENTE</t>
        </is>
      </c>
      <c r="H20" s="9" t="inlineStr"/>
    </row>
    <row r="21" ht="26" customHeight="1">
      <c r="A21" s="11" t="inlineStr">
        <is>
          <t>Gestión</t>
        </is>
      </c>
      <c r="B21" s="11" t="inlineStr">
        <is>
          <t>HU-22</t>
        </is>
      </c>
      <c r="C21" s="11" t="inlineStr">
        <is>
          <t>CA4</t>
        </is>
      </c>
      <c r="D21" s="12" t="inlineStr">
        <is>
          <t>Las amenazas prioritarias quedan conectadas con el registro de riesgos.</t>
        </is>
      </c>
      <c r="E21" s="12" t="inlineStr">
        <is>
          <t>Verificar en informe y en Google Sheets con fuentes comprobables</t>
        </is>
      </c>
      <c r="F21" s="13" t="inlineStr">
        <is>
          <t>Alta</t>
        </is>
      </c>
      <c r="G21" s="13" t="inlineStr">
        <is>
          <t>PENDIENTE</t>
        </is>
      </c>
      <c r="H21" s="12" t="inlineStr"/>
    </row>
    <row r="22" ht="26" customHeight="1">
      <c r="A22" s="8" t="inlineStr">
        <is>
          <t>Gestión</t>
        </is>
      </c>
      <c r="B22" s="8" t="inlineStr">
        <is>
          <t>HU-22</t>
        </is>
      </c>
      <c r="C22" s="8" t="inlineStr">
        <is>
          <t>CA5</t>
        </is>
      </c>
      <c r="D22" s="9" t="inlineStr">
        <is>
          <t>La información queda en Google Sheets.</t>
        </is>
      </c>
      <c r="E22" s="9" t="inlineStr">
        <is>
          <t>Verificar en informe y en Google Sheets con fuentes comprobables</t>
        </is>
      </c>
      <c r="F22" s="10" t="inlineStr">
        <is>
          <t>Alta</t>
        </is>
      </c>
      <c r="G22" s="10" t="inlineStr">
        <is>
          <t>PENDIENTE</t>
        </is>
      </c>
      <c r="H22" s="9" t="inlineStr"/>
    </row>
    <row r="23" ht="26" customHeight="1">
      <c r="A23" s="11" t="inlineStr">
        <is>
          <t>Gestión</t>
        </is>
      </c>
      <c r="B23" s="11" t="inlineStr">
        <is>
          <t>HU-23, HU-24, HU-25</t>
        </is>
      </c>
      <c r="C23" s="11" t="inlineStr">
        <is>
          <t>CA1</t>
        </is>
      </c>
      <c r="D23" s="12" t="inlineStr">
        <is>
          <t>Se muestran las cinco opciones de financiación.</t>
        </is>
      </c>
      <c r="E23" s="12" t="inlineStr">
        <is>
          <t>Verificar en informe y en Google Sheets con fuentes comprobables</t>
        </is>
      </c>
      <c r="F23" s="13" t="inlineStr">
        <is>
          <t>Alta</t>
        </is>
      </c>
      <c r="G23" s="13" t="inlineStr">
        <is>
          <t>PENDIENTE</t>
        </is>
      </c>
      <c r="H23" s="12" t="inlineStr"/>
    </row>
    <row r="24" ht="26" customHeight="1">
      <c r="A24" s="8" t="inlineStr">
        <is>
          <t>Gestión</t>
        </is>
      </c>
      <c r="B24" s="8" t="inlineStr">
        <is>
          <t>HU-23, HU-24, HU-25</t>
        </is>
      </c>
      <c r="C24" s="8" t="inlineStr">
        <is>
          <t>CA2</t>
        </is>
      </c>
      <c r="D24" s="9" t="inlineStr">
        <is>
          <t>Cada opción tiene sus criterios de comparación.</t>
        </is>
      </c>
      <c r="E24" s="9" t="inlineStr">
        <is>
          <t>Verificar en informe y en Google Sheets con fuentes comprobables</t>
        </is>
      </c>
      <c r="F24" s="10" t="inlineStr">
        <is>
          <t>Alta</t>
        </is>
      </c>
      <c r="G24" s="10" t="inlineStr">
        <is>
          <t>PENDIENTE</t>
        </is>
      </c>
      <c r="H24" s="9" t="inlineStr"/>
    </row>
    <row r="25" ht="26" customHeight="1">
      <c r="A25" s="11" t="inlineStr">
        <is>
          <t>Gestión</t>
        </is>
      </c>
      <c r="B25" s="11" t="inlineStr">
        <is>
          <t>HU-23, HU-24, HU-25</t>
        </is>
      </c>
      <c r="C25" s="11" t="inlineStr">
        <is>
          <t>CA3</t>
        </is>
      </c>
      <c r="D25" s="12" t="inlineStr">
        <is>
          <t>Se registra una recomendación justificada.</t>
        </is>
      </c>
      <c r="E25" s="12" t="inlineStr">
        <is>
          <t>Verificar en informe y en Google Sheets con fuentes comprobables</t>
        </is>
      </c>
      <c r="F25" s="13" t="inlineStr">
        <is>
          <t>Alta</t>
        </is>
      </c>
      <c r="G25" s="13" t="inlineStr">
        <is>
          <t>PENDIENTE</t>
        </is>
      </c>
      <c r="H25" s="12" t="inlineStr"/>
    </row>
    <row r="26" ht="26" customHeight="1">
      <c r="A26" s="8" t="inlineStr">
        <is>
          <t>Gestión</t>
        </is>
      </c>
      <c r="B26" s="8" t="inlineStr">
        <is>
          <t>HU-23, HU-24, HU-25</t>
        </is>
      </c>
      <c r="C26" s="8" t="inlineStr">
        <is>
          <t>CA4</t>
        </is>
      </c>
      <c r="D26" s="9" t="inlineStr">
        <is>
          <t>La información queda en Google Sheets.</t>
        </is>
      </c>
      <c r="E26" s="9" t="inlineStr">
        <is>
          <t>Verificar en informe y en Google Sheets con fuentes comprobables</t>
        </is>
      </c>
      <c r="F26" s="10" t="inlineStr">
        <is>
          <t>Alta</t>
        </is>
      </c>
      <c r="G26" s="10" t="inlineStr">
        <is>
          <t>PENDIENTE</t>
        </is>
      </c>
      <c r="H26" s="9" t="inlineStr"/>
    </row>
    <row r="27" ht="26" customHeight="1">
      <c r="A27" s="11" t="inlineStr">
        <is>
          <t>Gestión</t>
        </is>
      </c>
      <c r="B27" s="11" t="inlineStr">
        <is>
          <t>HU-26</t>
        </is>
      </c>
      <c r="C27" s="11" t="inlineStr">
        <is>
          <t>CA1</t>
        </is>
      </c>
      <c r="D27" s="12" t="inlineStr">
        <is>
          <t>Se muestra el cronograma planeado contra el ejecutado.</t>
        </is>
      </c>
      <c r="E27" s="12" t="inlineStr">
        <is>
          <t>Verificar en informe y en Google Sheets con fuentes comprobables</t>
        </is>
      </c>
      <c r="F27" s="13" t="inlineStr">
        <is>
          <t>Alta</t>
        </is>
      </c>
      <c r="G27" s="13" t="inlineStr">
        <is>
          <t>PENDIENTE</t>
        </is>
      </c>
      <c r="H27" s="12" t="inlineStr"/>
    </row>
    <row r="28" ht="26" customHeight="1">
      <c r="A28" s="8" t="inlineStr">
        <is>
          <t>Gestión</t>
        </is>
      </c>
      <c r="B28" s="8" t="inlineStr">
        <is>
          <t>HU-26</t>
        </is>
      </c>
      <c r="C28" s="8" t="inlineStr">
        <is>
          <t>CA2</t>
        </is>
      </c>
      <c r="D28" s="9" t="inlineStr">
        <is>
          <t>Se muestra la diferencia entre lo estimado y lo real.</t>
        </is>
      </c>
      <c r="E28" s="9" t="inlineStr">
        <is>
          <t>Verificar en informe y en Google Sheets con fuentes comprobables</t>
        </is>
      </c>
      <c r="F28" s="10" t="inlineStr">
        <is>
          <t>Alta</t>
        </is>
      </c>
      <c r="G28" s="10" t="inlineStr">
        <is>
          <t>PENDIENTE</t>
        </is>
      </c>
      <c r="H28" s="9" t="inlineStr"/>
    </row>
    <row r="29" ht="26" customHeight="1">
      <c r="A29" s="11" t="inlineStr">
        <is>
          <t>Gestión</t>
        </is>
      </c>
      <c r="B29" s="11" t="inlineStr">
        <is>
          <t>HU-26</t>
        </is>
      </c>
      <c r="C29" s="11" t="inlineStr">
        <is>
          <t>CA3</t>
        </is>
      </c>
      <c r="D29" s="12" t="inlineStr">
        <is>
          <t>Se calculan e interpretan SPI y CPI.</t>
        </is>
      </c>
      <c r="E29" s="12" t="inlineStr">
        <is>
          <t>Verificar en informe y en Google Sheets con fuentes comprobables</t>
        </is>
      </c>
      <c r="F29" s="13" t="inlineStr">
        <is>
          <t>Alta</t>
        </is>
      </c>
      <c r="G29" s="13" t="inlineStr">
        <is>
          <t>PENDIENTE</t>
        </is>
      </c>
      <c r="H29" s="12" t="inlineStr"/>
    </row>
    <row r="30" ht="26" customHeight="1">
      <c r="A30" s="8" t="inlineStr">
        <is>
          <t>Gestión</t>
        </is>
      </c>
      <c r="B30" s="8" t="inlineStr">
        <is>
          <t>HU-26</t>
        </is>
      </c>
      <c r="C30" s="8" t="inlineStr">
        <is>
          <t>CA4</t>
        </is>
      </c>
      <c r="D30" s="9" t="inlineStr">
        <is>
          <t>Cada cambio tiene fecha, descripción, impacto y decisión.</t>
        </is>
      </c>
      <c r="E30" s="9" t="inlineStr">
        <is>
          <t>Verificar en informe y en Google Sheets con fuentes comprobables</t>
        </is>
      </c>
      <c r="F30" s="10" t="inlineStr">
        <is>
          <t>Alta</t>
        </is>
      </c>
      <c r="G30" s="10" t="inlineStr">
        <is>
          <t>PENDIENTE</t>
        </is>
      </c>
      <c r="H30" s="9" t="inlineStr"/>
    </row>
    <row r="31" ht="26" customHeight="1">
      <c r="A31" s="11" t="inlineStr">
        <is>
          <t>Gestión</t>
        </is>
      </c>
      <c r="B31" s="11" t="inlineStr">
        <is>
          <t>HU-26</t>
        </is>
      </c>
      <c r="C31" s="11" t="inlineStr">
        <is>
          <t>CA5</t>
        </is>
      </c>
      <c r="D31" s="12" t="inlineStr">
        <is>
          <t>La información queda en Google Sheets.</t>
        </is>
      </c>
      <c r="E31" s="12" t="inlineStr">
        <is>
          <t>Verificar en informe y en Google Sheets con fuentes comprobables</t>
        </is>
      </c>
      <c r="F31" s="13" t="inlineStr">
        <is>
          <t>Alta</t>
        </is>
      </c>
      <c r="G31" s="13" t="inlineStr">
        <is>
          <t>PENDIENTE</t>
        </is>
      </c>
      <c r="H31" s="12" t="inlineStr"/>
    </row>
    <row r="32" ht="26" customHeight="1">
      <c r="A32" s="8" t="inlineStr">
        <is>
          <t>Gestión</t>
        </is>
      </c>
      <c r="B32" s="8" t="inlineStr">
        <is>
          <t>HU-17</t>
        </is>
      </c>
      <c r="C32" s="8" t="inlineStr">
        <is>
          <t>CA1</t>
        </is>
      </c>
      <c r="D32" s="9" t="inlineStr">
        <is>
          <t>Cada historia tiene al menos un caso de prueba.</t>
        </is>
      </c>
      <c r="E32" s="9" t="inlineStr">
        <is>
          <t>Verificar en informe y en Google Sheets con fuentes comprobables</t>
        </is>
      </c>
      <c r="F32" s="10" t="inlineStr">
        <is>
          <t>Alta</t>
        </is>
      </c>
      <c r="G32" s="10" t="inlineStr">
        <is>
          <t>PENDIENTE</t>
        </is>
      </c>
      <c r="H32" s="9" t="inlineStr"/>
    </row>
    <row r="33" ht="26" customHeight="1">
      <c r="A33" s="11" t="inlineStr">
        <is>
          <t>Gestión</t>
        </is>
      </c>
      <c r="B33" s="11" t="inlineStr">
        <is>
          <t>HU-17</t>
        </is>
      </c>
      <c r="C33" s="11" t="inlineStr">
        <is>
          <t>CA2</t>
        </is>
      </c>
      <c r="D33" s="12" t="inlineStr">
        <is>
          <t>Se prueba la carga con un archivo distinto al de desarrollo.</t>
        </is>
      </c>
      <c r="E33" s="12" t="inlineStr">
        <is>
          <t>Verificar en informe y en Google Sheets con fuentes comprobables</t>
        </is>
      </c>
      <c r="F33" s="13" t="inlineStr">
        <is>
          <t>Alta</t>
        </is>
      </c>
      <c r="G33" s="13" t="inlineStr">
        <is>
          <t>PENDIENTE</t>
        </is>
      </c>
      <c r="H33" s="12" t="inlineStr"/>
    </row>
    <row r="34" ht="26" customHeight="1">
      <c r="A34" s="8" t="inlineStr">
        <is>
          <t>Gestión</t>
        </is>
      </c>
      <c r="B34" s="8" t="inlineStr">
        <is>
          <t>HU-17</t>
        </is>
      </c>
      <c r="C34" s="8" t="inlineStr">
        <is>
          <t>CA3</t>
        </is>
      </c>
      <c r="D34" s="9" t="inlineStr">
        <is>
          <t>Los errores encontrados quedan registrados y corregidos.</t>
        </is>
      </c>
      <c r="E34" s="9" t="inlineStr">
        <is>
          <t>Verificar en informe y en Google Sheets con fuentes comprobables</t>
        </is>
      </c>
      <c r="F34" s="10" t="inlineStr">
        <is>
          <t>Alta</t>
        </is>
      </c>
      <c r="G34" s="10" t="inlineStr">
        <is>
          <t>PENDIENTE</t>
        </is>
      </c>
      <c r="H34" s="9" t="inlineStr"/>
    </row>
    <row r="35" ht="26" customHeight="1">
      <c r="A35" s="11" t="inlineStr">
        <is>
          <t>Gestión</t>
        </is>
      </c>
      <c r="B35" s="11" t="inlineStr">
        <is>
          <t>HU-17</t>
        </is>
      </c>
      <c r="C35" s="11" t="inlineStr">
        <is>
          <t>CA4</t>
        </is>
      </c>
      <c r="D35" s="12" t="inlineStr">
        <is>
          <t>El plan y la evidencia quedan como anexo del informe.</t>
        </is>
      </c>
      <c r="E35" s="12" t="inlineStr">
        <is>
          <t>Verificar en informe y en Google Sheets con fuentes comprobables</t>
        </is>
      </c>
      <c r="F35" s="13" t="inlineStr">
        <is>
          <t>Alta</t>
        </is>
      </c>
      <c r="G35" s="13" t="inlineStr">
        <is>
          <t>PENDIENTE</t>
        </is>
      </c>
      <c r="H35" s="12" t="inlineStr"/>
    </row>
    <row r="36" ht="26" customHeight="1">
      <c r="A36" s="8" t="inlineStr">
        <is>
          <t>Gestión</t>
        </is>
      </c>
      <c r="B36" s="8" t="inlineStr">
        <is>
          <t>HU-18</t>
        </is>
      </c>
      <c r="C36" s="8" t="inlineStr">
        <is>
          <t>CA1</t>
        </is>
      </c>
      <c r="D36" s="9" t="inlineStr">
        <is>
          <t>Existe evidencia de la sesión de validación.</t>
        </is>
      </c>
      <c r="E36" s="9" t="inlineStr">
        <is>
          <t>Verificar en informe y en Google Sheets con fuentes comprobables</t>
        </is>
      </c>
      <c r="F36" s="10" t="inlineStr">
        <is>
          <t>Alta</t>
        </is>
      </c>
      <c r="G36" s="10" t="inlineStr">
        <is>
          <t>PENDIENTE</t>
        </is>
      </c>
      <c r="H36" s="9" t="inlineStr"/>
    </row>
    <row r="37" ht="26" customHeight="1">
      <c r="A37" s="11" t="inlineStr">
        <is>
          <t>Gestión</t>
        </is>
      </c>
      <c r="B37" s="11" t="inlineStr">
        <is>
          <t>HU-18</t>
        </is>
      </c>
      <c r="C37" s="11" t="inlineStr">
        <is>
          <t>CA2</t>
        </is>
      </c>
      <c r="D37" s="12" t="inlineStr">
        <is>
          <t>Las observaciones quedan registradas.</t>
        </is>
      </c>
      <c r="E37" s="12" t="inlineStr">
        <is>
          <t>Verificar en informe y en Google Sheets con fuentes comprobables</t>
        </is>
      </c>
      <c r="F37" s="13" t="inlineStr">
        <is>
          <t>Alta</t>
        </is>
      </c>
      <c r="G37" s="13" t="inlineStr">
        <is>
          <t>PENDIENTE</t>
        </is>
      </c>
      <c r="H37" s="12" t="inlineStr"/>
    </row>
    <row r="38" ht="26" customHeight="1">
      <c r="A38" s="8" t="inlineStr">
        <is>
          <t>Gestión</t>
        </is>
      </c>
      <c r="B38" s="8" t="inlineStr">
        <is>
          <t>HU-18</t>
        </is>
      </c>
      <c r="C38" s="8" t="inlineStr">
        <is>
          <t>CA3</t>
        </is>
      </c>
      <c r="D38" s="9" t="inlineStr">
        <is>
          <t>Se indica qué observaciones se atendieron.</t>
        </is>
      </c>
      <c r="E38" s="9" t="inlineStr">
        <is>
          <t>Verificar en informe y en Google Sheets con fuentes comprobables</t>
        </is>
      </c>
      <c r="F38" s="10" t="inlineStr">
        <is>
          <t>Alta</t>
        </is>
      </c>
      <c r="G38" s="10" t="inlineStr">
        <is>
          <t>PENDIENTE</t>
        </is>
      </c>
      <c r="H38" s="9" t="inlineStr"/>
    </row>
    <row r="39" ht="26" customHeight="1">
      <c r="A39" s="11" t="inlineStr">
        <is>
          <t>Gestión</t>
        </is>
      </c>
      <c r="B39" s="11" t="inlineStr">
        <is>
          <t>HU-18</t>
        </is>
      </c>
      <c r="C39" s="11" t="inlineStr">
        <is>
          <t>CA4</t>
        </is>
      </c>
      <c r="D39" s="12" t="inlineStr">
        <is>
          <t>Existe una aceptación formal de la aplicación.</t>
        </is>
      </c>
      <c r="E39" s="12" t="inlineStr">
        <is>
          <t>Verificar en informe y en Google Sheets con fuentes comprobables</t>
        </is>
      </c>
      <c r="F39" s="13" t="inlineStr">
        <is>
          <t>Alta</t>
        </is>
      </c>
      <c r="G39" s="13" t="inlineStr">
        <is>
          <t>PENDIENTE</t>
        </is>
      </c>
      <c r="H39" s="12" t="inlineStr"/>
    </row>
    <row r="40" ht="26" customHeight="1">
      <c r="A40" s="8" t="inlineStr">
        <is>
          <t>Gestión</t>
        </is>
      </c>
      <c r="B40" s="8" t="inlineStr">
        <is>
          <t>HU-19</t>
        </is>
      </c>
      <c r="C40" s="8" t="inlineStr">
        <is>
          <t>CA1</t>
        </is>
      </c>
      <c r="D40" s="9" t="inlineStr">
        <is>
          <t>Se muestra el beneficio con su cálculo frente a la línea base.</t>
        </is>
      </c>
      <c r="E40" s="9" t="inlineStr">
        <is>
          <t>Verificar en informe y en Google Sheets con fuentes comprobables</t>
        </is>
      </c>
      <c r="F40" s="10" t="inlineStr">
        <is>
          <t>Alta</t>
        </is>
      </c>
      <c r="G40" s="10" t="inlineStr">
        <is>
          <t>PENDIENTE</t>
        </is>
      </c>
      <c r="H40" s="9" t="inlineStr"/>
    </row>
    <row r="41" ht="26" customHeight="1">
      <c r="A41" s="11" t="inlineStr">
        <is>
          <t>Gestión</t>
        </is>
      </c>
      <c r="B41" s="11" t="inlineStr">
        <is>
          <t>HU-19</t>
        </is>
      </c>
      <c r="C41" s="11" t="inlineStr">
        <is>
          <t>CA2</t>
        </is>
      </c>
      <c r="D41" s="12" t="inlineStr">
        <is>
          <t>Se registran al menos cinco lecciones aprendidas.</t>
        </is>
      </c>
      <c r="E41" s="12" t="inlineStr">
        <is>
          <t>Verificar en informe y en Google Sheets con fuentes comprobables</t>
        </is>
      </c>
      <c r="F41" s="13" t="inlineStr">
        <is>
          <t>Alta</t>
        </is>
      </c>
      <c r="G41" s="13" t="inlineStr">
        <is>
          <t>PENDIENTE</t>
        </is>
      </c>
      <c r="H41" s="12" t="inlineStr"/>
    </row>
    <row r="42" ht="26" customHeight="1">
      <c r="A42" s="8" t="inlineStr">
        <is>
          <t>Gestión</t>
        </is>
      </c>
      <c r="B42" s="8" t="inlineStr">
        <is>
          <t>HU-19</t>
        </is>
      </c>
      <c r="C42" s="8" t="inlineStr">
        <is>
          <t>CA3</t>
        </is>
      </c>
      <c r="D42" s="9" t="inlineStr">
        <is>
          <t>El plan de sostenimiento indica responsables y frecuencia.</t>
        </is>
      </c>
      <c r="E42" s="9" t="inlineStr">
        <is>
          <t>Verificar en informe y en Google Sheets con fuentes comprobables</t>
        </is>
      </c>
      <c r="F42" s="10" t="inlineStr">
        <is>
          <t>Alta</t>
        </is>
      </c>
      <c r="G42" s="10" t="inlineStr">
        <is>
          <t>PENDIENTE</t>
        </is>
      </c>
      <c r="H42" s="9" t="inlineStr"/>
    </row>
    <row r="43" ht="26" customHeight="1">
      <c r="A43" s="11" t="inlineStr">
        <is>
          <t>Gestión</t>
        </is>
      </c>
      <c r="B43" s="11" t="inlineStr">
        <is>
          <t>HU-19</t>
        </is>
      </c>
      <c r="C43" s="11" t="inlineStr">
        <is>
          <t>CA4</t>
        </is>
      </c>
      <c r="D43" s="12" t="inlineStr">
        <is>
          <t>Existe un acta de cierre.</t>
        </is>
      </c>
      <c r="E43" s="12" t="inlineStr">
        <is>
          <t>Verificar en informe y en Google Sheets con fuentes comprobables</t>
        </is>
      </c>
      <c r="F43" s="13" t="inlineStr">
        <is>
          <t>Alta</t>
        </is>
      </c>
      <c r="G43" s="13" t="inlineStr">
        <is>
          <t>PENDIENTE</t>
        </is>
      </c>
      <c r="H43" s="12" t="inlineStr"/>
    </row>
    <row r="44" ht="26" customHeight="1">
      <c r="A44" s="8" t="inlineStr">
        <is>
          <t>Gestión</t>
        </is>
      </c>
      <c r="B44" s="8" t="inlineStr">
        <is>
          <t>HU-19</t>
        </is>
      </c>
      <c r="C44" s="8" t="inlineStr">
        <is>
          <t>CA5</t>
        </is>
      </c>
      <c r="D44" s="9" t="inlineStr">
        <is>
          <t>La información queda en Google Sheets.</t>
        </is>
      </c>
      <c r="E44" s="9" t="inlineStr">
        <is>
          <t>Verificar en informe y en Google Sheets con fuentes comprobables</t>
        </is>
      </c>
      <c r="F44" s="10" t="inlineStr">
        <is>
          <t>Alta</t>
        </is>
      </c>
      <c r="G44" s="10" t="inlineStr">
        <is>
          <t>PENDIENTE</t>
        </is>
      </c>
      <c r="H44" s="9" t="inlineStr"/>
    </row>
    <row r="45" ht="26" customHeight="1">
      <c r="A45" s="11" t="inlineStr">
        <is>
          <t>Gestión</t>
        </is>
      </c>
      <c r="B45" s="11" t="inlineStr">
        <is>
          <t>HU-20</t>
        </is>
      </c>
      <c r="C45" s="11" t="inlineStr">
        <is>
          <t>CA1</t>
        </is>
      </c>
      <c r="D45" s="12" t="inlineStr">
        <is>
          <t>La presentación tiene máximo 8 diapositivas.</t>
        </is>
      </c>
      <c r="E45" s="12" t="inlineStr">
        <is>
          <t>Verificar en informe y en Google Sheets con fuentes comprobables</t>
        </is>
      </c>
      <c r="F45" s="13" t="inlineStr">
        <is>
          <t>Alta</t>
        </is>
      </c>
      <c r="G45" s="13" t="inlineStr">
        <is>
          <t>PENDIENTE</t>
        </is>
      </c>
      <c r="H45" s="12" t="inlineStr"/>
    </row>
    <row r="46" ht="26" customHeight="1">
      <c r="A46" s="8" t="inlineStr">
        <is>
          <t>Gestión</t>
        </is>
      </c>
      <c r="B46" s="8" t="inlineStr">
        <is>
          <t>HU-20</t>
        </is>
      </c>
      <c r="C46" s="8" t="inlineStr">
        <is>
          <t>CA2</t>
        </is>
      </c>
      <c r="D46" s="9" t="inlineStr">
        <is>
          <t>Todos los integrantes tienen una parte asignada.</t>
        </is>
      </c>
      <c r="E46" s="9" t="inlineStr">
        <is>
          <t>Verificar en informe y en Google Sheets con fuentes comprobables</t>
        </is>
      </c>
      <c r="F46" s="10" t="inlineStr">
        <is>
          <t>Alta</t>
        </is>
      </c>
      <c r="G46" s="10" t="inlineStr">
        <is>
          <t>PENDIENTE</t>
        </is>
      </c>
      <c r="H46" s="9" t="inlineStr"/>
    </row>
    <row r="47" ht="26" customHeight="1">
      <c r="A47" s="11" t="inlineStr">
        <is>
          <t>Gestión</t>
        </is>
      </c>
      <c r="B47" s="11" t="inlineStr">
        <is>
          <t>HU-20</t>
        </is>
      </c>
      <c r="C47" s="11" t="inlineStr">
        <is>
          <t>CA3</t>
        </is>
      </c>
      <c r="D47" s="12" t="inlineStr">
        <is>
          <t>El pitch dura máximo 60 segundos.</t>
        </is>
      </c>
      <c r="E47" s="12" t="inlineStr">
        <is>
          <t>Verificar en informe y en Google Sheets con fuentes comprobables</t>
        </is>
      </c>
      <c r="F47" s="13" t="inlineStr">
        <is>
          <t>Alta</t>
        </is>
      </c>
      <c r="G47" s="13" t="inlineStr">
        <is>
          <t>PENDIENTE</t>
        </is>
      </c>
      <c r="H47" s="12" t="inlineStr"/>
    </row>
    <row r="48" ht="26" customHeight="1">
      <c r="A48" s="8" t="inlineStr">
        <is>
          <t>Gestión</t>
        </is>
      </c>
      <c r="B48" s="8" t="inlineStr">
        <is>
          <t>HU-20</t>
        </is>
      </c>
      <c r="C48" s="8" t="inlineStr">
        <is>
          <t>CA4</t>
        </is>
      </c>
      <c r="D48" s="9" t="inlineStr">
        <is>
          <t>La demostración genera el tablero con un archivo nuevo.</t>
        </is>
      </c>
      <c r="E48" s="9" t="inlineStr">
        <is>
          <t>Verificar en informe y en Google Sheets con fuentes comprobables</t>
        </is>
      </c>
      <c r="F48" s="10" t="inlineStr">
        <is>
          <t>Alta</t>
        </is>
      </c>
      <c r="G48" s="10" t="inlineStr">
        <is>
          <t>PENDIENTE</t>
        </is>
      </c>
      <c r="H48" s="9" t="inlineStr"/>
    </row>
    <row r="49" ht="26" customHeight="1">
      <c r="A49" s="11" t="inlineStr">
        <is>
          <t>Aplicación</t>
        </is>
      </c>
      <c r="B49" s="11" t="inlineStr">
        <is>
          <t>HU-01</t>
        </is>
      </c>
      <c r="C49" s="11" t="inlineStr">
        <is>
          <t>CA1</t>
        </is>
      </c>
      <c r="D49" s="12" t="inlineStr">
        <is>
          <t>El repositorio tiene las carpetas Frontend/, Backend/ y Docs/ con el código de esta historia.</t>
        </is>
      </c>
      <c r="E49" s="12" t="inlineStr">
        <is>
          <t>Ejecutar prueba funcional en el navegador y revisar commit en GitHub</t>
        </is>
      </c>
      <c r="F49" s="13" t="inlineStr">
        <is>
          <t>Crítica</t>
        </is>
      </c>
      <c r="G49" s="13" t="inlineStr">
        <is>
          <t>PENDIENTE</t>
        </is>
      </c>
      <c r="H49" s="12" t="inlineStr"/>
    </row>
    <row r="50" ht="26" customHeight="1">
      <c r="A50" s="8" t="inlineStr">
        <is>
          <t>Aplicación</t>
        </is>
      </c>
      <c r="B50" s="8" t="inlineStr">
        <is>
          <t>HU-01</t>
        </is>
      </c>
      <c r="C50" s="8" t="inlineStr">
        <is>
          <t>CA2</t>
        </is>
      </c>
      <c r="D50" s="9" t="inlineStr">
        <is>
          <t>Al abrir Frontend/index.html se ven los módulos Tablero y Cargar datos y se puede pasar de uno a otro.</t>
        </is>
      </c>
      <c r="E50" s="9" t="inlineStr">
        <is>
          <t>Ejecutar prueba funcional en el navegador y revisar commit en GitHub</t>
        </is>
      </c>
      <c r="F50" s="10" t="inlineStr">
        <is>
          <t>Crítica</t>
        </is>
      </c>
      <c r="G50" s="10" t="inlineStr">
        <is>
          <t>PENDIENTE</t>
        </is>
      </c>
      <c r="H50" s="9" t="inlineStr"/>
    </row>
    <row r="51" ht="26" customHeight="1">
      <c r="A51" s="11" t="inlineStr">
        <is>
          <t>Aplicación</t>
        </is>
      </c>
      <c r="B51" s="11" t="inlineStr">
        <is>
          <t>HU-01</t>
        </is>
      </c>
      <c r="C51" s="11" t="inlineStr">
        <is>
          <t>CA3</t>
        </is>
      </c>
      <c r="D51" s="12" t="inlineStr">
        <is>
          <t>Docs/Arquitectura.md y Docs/Decisiones_Tecnicas.md explican la arquitectura y por qué se eligió la tecnología.</t>
        </is>
      </c>
      <c r="E51" s="12" t="inlineStr">
        <is>
          <t>Ejecutar prueba funcional en el navegador y revisar commit en GitHub</t>
        </is>
      </c>
      <c r="F51" s="13" t="inlineStr">
        <is>
          <t>Crítica</t>
        </is>
      </c>
      <c r="G51" s="13" t="inlineStr">
        <is>
          <t>PENDIENTE</t>
        </is>
      </c>
      <c r="H51" s="12" t="inlineStr"/>
    </row>
    <row r="52" ht="26" customHeight="1">
      <c r="A52" s="8" t="inlineStr">
        <is>
          <t>Aplicación</t>
        </is>
      </c>
      <c r="B52" s="8" t="inlineStr">
        <is>
          <t>HU-01</t>
        </is>
      </c>
      <c r="C52" s="8" t="inlineStr">
        <is>
          <t>CA4</t>
        </is>
      </c>
      <c r="D52" s="9" t="inlineStr">
        <is>
          <t>El README describe la arquitectura real (sin Google Sheets).</t>
        </is>
      </c>
      <c r="E52" s="9" t="inlineStr">
        <is>
          <t>Ejecutar prueba funcional en el navegador y revisar commit en GitHub</t>
        </is>
      </c>
      <c r="F52" s="10" t="inlineStr">
        <is>
          <t>Crítica</t>
        </is>
      </c>
      <c r="G52" s="10" t="inlineStr">
        <is>
          <t>PENDIENTE</t>
        </is>
      </c>
      <c r="H52" s="9" t="inlineStr"/>
    </row>
    <row r="53" ht="26" customHeight="1">
      <c r="A53" s="11" t="inlineStr">
        <is>
          <t>Aplicación</t>
        </is>
      </c>
      <c r="B53" s="11" t="inlineStr">
        <is>
          <t>HU-02</t>
        </is>
      </c>
      <c r="C53" s="11" t="inlineStr">
        <is>
          <t>CA1</t>
        </is>
      </c>
      <c r="D53" s="12" t="inlineStr">
        <is>
          <t>La plantilla tiene las 9 hojas con los encabezados del diccionario.</t>
        </is>
      </c>
      <c r="E53" s="12" t="inlineStr">
        <is>
          <t>Ejecutar prueba funcional en el navegador y revisar commit en GitHub</t>
        </is>
      </c>
      <c r="F53" s="13" t="inlineStr">
        <is>
          <t>Crítica</t>
        </is>
      </c>
      <c r="G53" s="13" t="inlineStr">
        <is>
          <t>PENDIENTE</t>
        </is>
      </c>
      <c r="H53" s="12" t="inlineStr"/>
    </row>
    <row r="54" ht="26" customHeight="1">
      <c r="A54" s="8" t="inlineStr">
        <is>
          <t>Aplicación</t>
        </is>
      </c>
      <c r="B54" s="8" t="inlineStr">
        <is>
          <t>HU-02</t>
        </is>
      </c>
      <c r="C54" s="8" t="inlineStr">
        <is>
          <t>CA2</t>
        </is>
      </c>
      <c r="D54" s="9" t="inlineStr">
        <is>
          <t>Las tablas Dim traen los valores de los supuestos de simulación.</t>
        </is>
      </c>
      <c r="E54" s="9" t="inlineStr">
        <is>
          <t>Ejecutar prueba funcional en el navegador y revisar commit en GitHub</t>
        </is>
      </c>
      <c r="F54" s="10" t="inlineStr">
        <is>
          <t>Crítica</t>
        </is>
      </c>
      <c r="G54" s="10" t="inlineStr">
        <is>
          <t>PENDIENTE</t>
        </is>
      </c>
      <c r="H54" s="9" t="inlineStr"/>
    </row>
    <row r="55" ht="26" customHeight="1">
      <c r="A55" s="11" t="inlineStr">
        <is>
          <t>Aplicación</t>
        </is>
      </c>
      <c r="B55" s="11" t="inlineStr">
        <is>
          <t>HU-02</t>
        </is>
      </c>
      <c r="C55" s="11" t="inlineStr">
        <is>
          <t>CA3</t>
        </is>
      </c>
      <c r="D55" s="12" t="inlineStr">
        <is>
          <t>El botón descarga la plantilla desde la aplicación.</t>
        </is>
      </c>
      <c r="E55" s="12" t="inlineStr">
        <is>
          <t>Ejecutar prueba funcional en el navegador y revisar commit en GitHub</t>
        </is>
      </c>
      <c r="F55" s="13" t="inlineStr">
        <is>
          <t>Crítica</t>
        </is>
      </c>
      <c r="G55" s="13" t="inlineStr">
        <is>
          <t>PENDIENTE</t>
        </is>
      </c>
      <c r="H55" s="12" t="inlineStr"/>
    </row>
    <row r="56" ht="26" customHeight="1">
      <c r="A56" s="8" t="inlineStr">
        <is>
          <t>Aplicación</t>
        </is>
      </c>
      <c r="B56" s="8" t="inlineStr">
        <is>
          <t>HU-02</t>
        </is>
      </c>
      <c r="C56" s="8" t="inlineStr">
        <is>
          <t>CA4</t>
        </is>
      </c>
      <c r="D56" s="9" t="inlineStr">
        <is>
          <t>El diccionario documenta cada campo y las fórmulas de las fichas técnicas.</t>
        </is>
      </c>
      <c r="E56" s="9" t="inlineStr">
        <is>
          <t>Ejecutar prueba funcional en el navegador y revisar commit en GitHub</t>
        </is>
      </c>
      <c r="F56" s="10" t="inlineStr">
        <is>
          <t>Crítica</t>
        </is>
      </c>
      <c r="G56" s="10" t="inlineStr">
        <is>
          <t>PENDIENTE</t>
        </is>
      </c>
      <c r="H56" s="9" t="inlineStr"/>
    </row>
    <row r="57" ht="26" customHeight="1">
      <c r="A57" s="11" t="inlineStr">
        <is>
          <t>Aplicación</t>
        </is>
      </c>
      <c r="B57" s="11" t="inlineStr">
        <is>
          <t>HU-03</t>
        </is>
      </c>
      <c r="C57" s="11" t="inlineStr">
        <is>
          <t>CA1</t>
        </is>
      </c>
      <c r="D57" s="12" t="inlineStr">
        <is>
          <t>El script genera el mismo archivo cada vez que se ejecuta con la misma semilla.</t>
        </is>
      </c>
      <c r="E57" s="12" t="inlineStr">
        <is>
          <t>Ejecutar prueba funcional en el navegador y revisar commit en GitHub</t>
        </is>
      </c>
      <c r="F57" s="13" t="inlineStr">
        <is>
          <t>Crítica</t>
        </is>
      </c>
      <c r="G57" s="13" t="inlineStr">
        <is>
          <t>PENDIENTE</t>
        </is>
      </c>
      <c r="H57" s="12" t="inlineStr"/>
    </row>
    <row r="58" ht="26" customHeight="1">
      <c r="A58" s="8" t="inlineStr">
        <is>
          <t>Aplicación</t>
        </is>
      </c>
      <c r="B58" s="8" t="inlineStr">
        <is>
          <t>HU-03</t>
        </is>
      </c>
      <c r="C58" s="8" t="inlineStr">
        <is>
          <t>CA2</t>
        </is>
      </c>
      <c r="D58" s="9" t="inlineStr">
        <is>
          <t>El libro tiene la estructura de la plantilla y la hoja Verificacion (OEE 67,70 %, SLA 92,11 %, % no vendido 2,27 %, productividad 8,03).</t>
        </is>
      </c>
      <c r="E58" s="9" t="inlineStr">
        <is>
          <t>Ejecutar prueba funcional en el navegador y revisar commit en GitHub</t>
        </is>
      </c>
      <c r="F58" s="10" t="inlineStr">
        <is>
          <t>Crítica</t>
        </is>
      </c>
      <c r="G58" s="10" t="inlineStr">
        <is>
          <t>PENDIENTE</t>
        </is>
      </c>
      <c r="H58" s="9" t="inlineStr"/>
    </row>
    <row r="59" ht="26" customHeight="1">
      <c r="A59" s="11" t="inlineStr">
        <is>
          <t>Aplicación</t>
        </is>
      </c>
      <c r="B59" s="11" t="inlineStr">
        <is>
          <t>HU-03</t>
        </is>
      </c>
      <c r="C59" s="11" t="inlineStr">
        <is>
          <t>CA3</t>
        </is>
      </c>
      <c r="D59" s="12" t="inlineStr">
        <is>
          <t>El archivo se declara como simulado con autorización del docente.</t>
        </is>
      </c>
      <c r="E59" s="12" t="inlineStr">
        <is>
          <t>Ejecutar prueba funcional en el navegador y revisar commit en GitHub</t>
        </is>
      </c>
      <c r="F59" s="13" t="inlineStr">
        <is>
          <t>Crítica</t>
        </is>
      </c>
      <c r="G59" s="13" t="inlineStr">
        <is>
          <t>PENDIENTE</t>
        </is>
      </c>
      <c r="H59" s="12" t="inlineStr"/>
    </row>
    <row r="60" ht="26" customHeight="1">
      <c r="A60" s="8" t="inlineStr">
        <is>
          <t>Aplicación</t>
        </is>
      </c>
      <c r="B60" s="8" t="inlineStr">
        <is>
          <t>HU-03</t>
        </is>
      </c>
      <c r="C60" s="8" t="inlineStr">
        <is>
          <t>CA4</t>
        </is>
      </c>
      <c r="D60" s="9" t="inlineStr">
        <is>
          <t>El botón «Descargar datos simulados» funciona.</t>
        </is>
      </c>
      <c r="E60" s="9" t="inlineStr">
        <is>
          <t>Ejecutar prueba funcional en el navegador y revisar commit en GitHub</t>
        </is>
      </c>
      <c r="F60" s="10" t="inlineStr">
        <is>
          <t>Crítica</t>
        </is>
      </c>
      <c r="G60" s="10" t="inlineStr">
        <is>
          <t>PENDIENTE</t>
        </is>
      </c>
      <c r="H60" s="9" t="inlineStr"/>
    </row>
    <row r="61" ht="26" customHeight="1">
      <c r="A61" s="11" t="inlineStr">
        <is>
          <t>Aplicación</t>
        </is>
      </c>
      <c r="B61" s="11" t="inlineStr">
        <is>
          <t>HU-04</t>
        </is>
      </c>
      <c r="C61" s="11" t="inlineStr">
        <is>
          <t>CA1</t>
        </is>
      </c>
      <c r="D61" s="12" t="inlineStr">
        <is>
          <t>Al soltar un .xlsx la aplicación muestra sus hojas y número de filas.</t>
        </is>
      </c>
      <c r="E61" s="12" t="inlineStr">
        <is>
          <t>Ejecutar prueba funcional en el navegador y revisar commit en GitHub</t>
        </is>
      </c>
      <c r="F61" s="13" t="inlineStr">
        <is>
          <t>Crítica</t>
        </is>
      </c>
      <c r="G61" s="13" t="inlineStr">
        <is>
          <t>PENDIENTE</t>
        </is>
      </c>
      <c r="H61" s="12" t="inlineStr"/>
    </row>
    <row r="62" ht="26" customHeight="1">
      <c r="A62" s="8" t="inlineStr">
        <is>
          <t>Aplicación</t>
        </is>
      </c>
      <c r="B62" s="8" t="inlineStr">
        <is>
          <t>HU-04</t>
        </is>
      </c>
      <c r="C62" s="8" t="inlineStr">
        <is>
          <t>CA2</t>
        </is>
      </c>
      <c r="D62" s="9" t="inlineStr">
        <is>
          <t>Un archivo que no es Excel muestra un mensaje de error claro.</t>
        </is>
      </c>
      <c r="E62" s="9" t="inlineStr">
        <is>
          <t>Ejecutar prueba funcional en el navegador y revisar commit en GitHub</t>
        </is>
      </c>
      <c r="F62" s="10" t="inlineStr">
        <is>
          <t>Crítica</t>
        </is>
      </c>
      <c r="G62" s="10" t="inlineStr">
        <is>
          <t>PENDIENTE</t>
        </is>
      </c>
      <c r="H62" s="9" t="inlineStr"/>
    </row>
    <row r="63" ht="26" customHeight="1">
      <c r="A63" s="11" t="inlineStr">
        <is>
          <t>Aplicación</t>
        </is>
      </c>
      <c r="B63" s="11" t="inlineStr">
        <is>
          <t>HU-04</t>
        </is>
      </c>
      <c r="C63" s="11" t="inlineStr">
        <is>
          <t>CA3</t>
        </is>
      </c>
      <c r="D63" s="12" t="inlineStr">
        <is>
          <t>«Usar datos de ejemplo» carga el mes simulado.</t>
        </is>
      </c>
      <c r="E63" s="12" t="inlineStr">
        <is>
          <t>Ejecutar prueba funcional en el navegador y revisar commit en GitHub</t>
        </is>
      </c>
      <c r="F63" s="13" t="inlineStr">
        <is>
          <t>Crítica</t>
        </is>
      </c>
      <c r="G63" s="13" t="inlineStr">
        <is>
          <t>PENDIENTE</t>
        </is>
      </c>
      <c r="H63" s="12" t="inlineStr"/>
    </row>
    <row r="64" ht="26" customHeight="1">
      <c r="A64" s="8" t="inlineStr">
        <is>
          <t>Aplicación</t>
        </is>
      </c>
      <c r="B64" s="8" t="inlineStr">
        <is>
          <t>HU-04</t>
        </is>
      </c>
      <c r="C64" s="8" t="inlineStr">
        <is>
          <t>CA4</t>
        </is>
      </c>
      <c r="D64" s="9" t="inlineStr">
        <is>
          <t>npm test pasa (3 pruebas).</t>
        </is>
      </c>
      <c r="E64" s="9" t="inlineStr">
        <is>
          <t>Ejecutar prueba funcional en el navegador y revisar commit en GitHub</t>
        </is>
      </c>
      <c r="F64" s="10" t="inlineStr">
        <is>
          <t>Crítica</t>
        </is>
      </c>
      <c r="G64" s="10" t="inlineStr">
        <is>
          <t>PENDIENTE</t>
        </is>
      </c>
      <c r="H64" s="9" t="inlineStr"/>
    </row>
    <row r="65" ht="26" customHeight="1">
      <c r="A65" s="11" t="inlineStr">
        <is>
          <t>Aplicación</t>
        </is>
      </c>
      <c r="B65" s="11" t="inlineStr">
        <is>
          <t>HU-05</t>
        </is>
      </c>
      <c r="C65" s="11" t="inlineStr">
        <is>
          <t>CA1</t>
        </is>
      </c>
      <c r="D65" s="12" t="inlineStr">
        <is>
          <t>Con el archivo de septiembre reconoce las 9 tablas y 0 filas con errores.</t>
        </is>
      </c>
      <c r="E65" s="12" t="inlineStr">
        <is>
          <t>Ejecutar prueba funcional en el navegador y revisar commit en GitHub</t>
        </is>
      </c>
      <c r="F65" s="13" t="inlineStr">
        <is>
          <t>Crítica</t>
        </is>
      </c>
      <c r="G65" s="13" t="inlineStr">
        <is>
          <t>PENDIENTE</t>
        </is>
      </c>
      <c r="H65" s="12" t="inlineStr"/>
    </row>
    <row r="66" ht="26" customHeight="1">
      <c r="A66" s="8" t="inlineStr">
        <is>
          <t>Aplicación</t>
        </is>
      </c>
      <c r="B66" s="8" t="inlineStr">
        <is>
          <t>HU-05</t>
        </is>
      </c>
      <c r="C66" s="8" t="inlineStr">
        <is>
          <t>CA2</t>
        </is>
      </c>
      <c r="D66" s="9" t="inlineStr">
        <is>
          <t>Reconoce la base del curso aunque las hojas cambien de nombre.</t>
        </is>
      </c>
      <c r="E66" s="9" t="inlineStr">
        <is>
          <t>Ejecutar prueba funcional en el navegador y revisar commit en GitHub</t>
        </is>
      </c>
      <c r="F66" s="10" t="inlineStr">
        <is>
          <t>Crítica</t>
        </is>
      </c>
      <c r="G66" s="10" t="inlineStr">
        <is>
          <t>PENDIENTE</t>
        </is>
      </c>
      <c r="H66" s="9" t="inlineStr"/>
    </row>
    <row r="67" ht="26" customHeight="1">
      <c r="A67" s="11" t="inlineStr">
        <is>
          <t>Aplicación</t>
        </is>
      </c>
      <c r="B67" s="11" t="inlineStr">
        <is>
          <t>HU-05</t>
        </is>
      </c>
      <c r="C67" s="11" t="inlineStr">
        <is>
          <t>CA3</t>
        </is>
      </c>
      <c r="D67" s="12" t="inlineStr">
        <is>
          <t>Una tanda con defectuosas mayores que producidas aparece rechazada con su número de fila.</t>
        </is>
      </c>
      <c r="E67" s="12" t="inlineStr">
        <is>
          <t>Ejecutar prueba funcional en el navegador y revisar commit en GitHub</t>
        </is>
      </c>
      <c r="F67" s="13" t="inlineStr">
        <is>
          <t>Crítica</t>
        </is>
      </c>
      <c r="G67" s="13" t="inlineStr">
        <is>
          <t>PENDIENTE</t>
        </is>
      </c>
      <c r="H67" s="12" t="inlineStr"/>
    </row>
    <row r="68" ht="26" customHeight="1">
      <c r="A68" s="8" t="inlineStr">
        <is>
          <t>Aplicación</t>
        </is>
      </c>
      <c r="B68" s="8" t="inlineStr">
        <is>
          <t>HU-05</t>
        </is>
      </c>
      <c r="C68" s="8" t="inlineStr">
        <is>
          <t>CA4</t>
        </is>
      </c>
      <c r="D68" s="9" t="inlineStr">
        <is>
          <t>npm test pasa (Tests/modelo.test.js).</t>
        </is>
      </c>
      <c r="E68" s="9" t="inlineStr">
        <is>
          <t>Ejecutar prueba funcional en el navegador y revisar commit en GitHub</t>
        </is>
      </c>
      <c r="F68" s="10" t="inlineStr">
        <is>
          <t>Crítica</t>
        </is>
      </c>
      <c r="G68" s="10" t="inlineStr">
        <is>
          <t>PENDIENTE</t>
        </is>
      </c>
      <c r="H68" s="9" t="inlineStr"/>
    </row>
    <row r="69" ht="26" customHeight="1">
      <c r="A69" s="11" t="inlineStr">
        <is>
          <t>Aplicación</t>
        </is>
      </c>
      <c r="B69" s="11" t="inlineStr">
        <is>
          <t>HU-06</t>
        </is>
      </c>
      <c r="C69" s="11" t="inlineStr">
        <is>
          <t>CA1</t>
        </is>
      </c>
      <c r="D69" s="12" t="inlineStr">
        <is>
          <t>Con septiembre: OEE 67,7 % (A 89,9 %, R 78,6 %, Q 95,8 %).</t>
        </is>
      </c>
      <c r="E69" s="12" t="inlineStr">
        <is>
          <t>Ejecutar prueba funcional en el navegador y revisar commit en GitHub</t>
        </is>
      </c>
      <c r="F69" s="13" t="inlineStr">
        <is>
          <t>Crítica</t>
        </is>
      </c>
      <c r="G69" s="13" t="inlineStr">
        <is>
          <t>PENDIENTE</t>
        </is>
      </c>
      <c r="H69" s="12" t="inlineStr"/>
    </row>
    <row r="70" ht="26" customHeight="1">
      <c r="A70" s="8" t="inlineStr">
        <is>
          <t>Aplicación</t>
        </is>
      </c>
      <c r="B70" s="8" t="inlineStr">
        <is>
          <t>HU-06</t>
        </is>
      </c>
      <c r="C70" s="8" t="inlineStr">
        <is>
          <t>CA2</t>
        </is>
      </c>
      <c r="D70" s="9" t="inlineStr">
        <is>
          <t>Con la base del curso: OEE 61,89 %.</t>
        </is>
      </c>
      <c r="E70" s="9" t="inlineStr">
        <is>
          <t>Ejecutar prueba funcional en el navegador y revisar commit en GitHub</t>
        </is>
      </c>
      <c r="F70" s="10" t="inlineStr">
        <is>
          <t>Crítica</t>
        </is>
      </c>
      <c r="G70" s="10" t="inlineStr">
        <is>
          <t>PENDIENTE</t>
        </is>
      </c>
      <c r="H70" s="9" t="inlineStr"/>
    </row>
    <row r="71" ht="26" customHeight="1">
      <c r="A71" s="11" t="inlineStr">
        <is>
          <t>Aplicación</t>
        </is>
      </c>
      <c r="B71" s="11" t="inlineStr">
        <is>
          <t>HU-06</t>
        </is>
      </c>
      <c r="C71" s="11" t="inlineStr">
        <is>
          <t>CA3</t>
        </is>
      </c>
      <c r="D71" s="12" t="inlineStr">
        <is>
          <t>Con octubre (archivo no usado para desarrollar): OEE 71,1 % y 42 turnos.</t>
        </is>
      </c>
      <c r="E71" s="12" t="inlineStr">
        <is>
          <t>Ejecutar prueba funcional en el navegador y revisar commit en GitHub</t>
        </is>
      </c>
      <c r="F71" s="13" t="inlineStr">
        <is>
          <t>Crítica</t>
        </is>
      </c>
      <c r="G71" s="13" t="inlineStr">
        <is>
          <t>PENDIENTE</t>
        </is>
      </c>
      <c r="H71" s="12" t="inlineStr"/>
    </row>
    <row r="72" ht="26" customHeight="1">
      <c r="A72" s="8" t="inlineStr">
        <is>
          <t>Aplicación</t>
        </is>
      </c>
      <c r="B72" s="8" t="inlineStr">
        <is>
          <t>HU-06</t>
        </is>
      </c>
      <c r="C72" s="8" t="inlineStr">
        <is>
          <t>CA4</t>
        </is>
      </c>
      <c r="D72" s="9" t="inlineStr">
        <is>
          <t>El prototipo v0 abre desde la URL /exec de Apps Script.</t>
        </is>
      </c>
      <c r="E72" s="9" t="inlineStr">
        <is>
          <t>Ejecutar prueba funcional en el navegador y revisar commit en GitHub</t>
        </is>
      </c>
      <c r="F72" s="10" t="inlineStr">
        <is>
          <t>Crítica</t>
        </is>
      </c>
      <c r="G72" s="10" t="inlineStr">
        <is>
          <t>PENDIENTE</t>
        </is>
      </c>
      <c r="H72" s="9" t="inlineStr"/>
    </row>
    <row r="73" ht="26" customHeight="1">
      <c r="A73" s="11" t="inlineStr">
        <is>
          <t>Aplicación</t>
        </is>
      </c>
      <c r="B73" s="11" t="inlineStr">
        <is>
          <t>HU-06</t>
        </is>
      </c>
      <c r="C73" s="11" t="inlineStr">
        <is>
          <t>CA5</t>
        </is>
      </c>
      <c r="D73" s="12" t="inlineStr">
        <is>
          <t>npm test pasa (Tests/oee.test.js).</t>
        </is>
      </c>
      <c r="E73" s="12" t="inlineStr">
        <is>
          <t>Ejecutar prueba funcional en el navegador y revisar commit en GitHub</t>
        </is>
      </c>
      <c r="F73" s="13" t="inlineStr">
        <is>
          <t>Crítica</t>
        </is>
      </c>
      <c r="G73" s="13" t="inlineStr">
        <is>
          <t>PENDIENTE</t>
        </is>
      </c>
      <c r="H73" s="12" t="inlineStr"/>
    </row>
    <row r="74" ht="26" customHeight="1">
      <c r="A74" s="8" t="inlineStr">
        <is>
          <t>Aplicación</t>
        </is>
      </c>
      <c r="B74" s="8" t="inlineStr">
        <is>
          <t>HU-07</t>
        </is>
      </c>
      <c r="C74" s="8" t="inlineStr">
        <is>
          <t>CA1</t>
        </is>
      </c>
      <c r="D74" s="9" t="inlineStr">
        <is>
          <t>Con septiembre: SLA 92,1 % (70 de 76 pedidos).</t>
        </is>
      </c>
      <c r="E74" s="9" t="inlineStr">
        <is>
          <t>Ejecutar prueba funcional en el navegador y revisar commit en GitHub</t>
        </is>
      </c>
      <c r="F74" s="10" t="inlineStr">
        <is>
          <t>Crítica</t>
        </is>
      </c>
      <c r="G74" s="10" t="inlineStr">
        <is>
          <t>PENDIENTE</t>
        </is>
      </c>
      <c r="H74" s="9" t="inlineStr"/>
    </row>
    <row r="75" ht="26" customHeight="1">
      <c r="A75" s="11" t="inlineStr">
        <is>
          <t>Aplicación</t>
        </is>
      </c>
      <c r="B75" s="11" t="inlineStr">
        <is>
          <t>HU-07</t>
        </is>
      </c>
      <c r="C75" s="11" t="inlineStr">
        <is>
          <t>CA2</t>
        </is>
      </c>
      <c r="D75" s="12" t="inlineStr">
        <is>
          <t>Un pedido entregado un minuto tarde o incompleto no cumple.</t>
        </is>
      </c>
      <c r="E75" s="12" t="inlineStr">
        <is>
          <t>Ejecutar prueba funcional en el navegador y revisar commit en GitHub</t>
        </is>
      </c>
      <c r="F75" s="13" t="inlineStr">
        <is>
          <t>Crítica</t>
        </is>
      </c>
      <c r="G75" s="13" t="inlineStr">
        <is>
          <t>PENDIENTE</t>
        </is>
      </c>
      <c r="H75" s="12" t="inlineStr"/>
    </row>
    <row r="76" ht="26" customHeight="1">
      <c r="A76" s="8" t="inlineStr">
        <is>
          <t>Aplicación</t>
        </is>
      </c>
      <c r="B76" s="8" t="inlineStr">
        <is>
          <t>HU-07</t>
        </is>
      </c>
      <c r="C76" s="8" t="inlineStr">
        <is>
          <t>CA3</t>
        </is>
      </c>
      <c r="D76" s="9" t="inlineStr">
        <is>
          <t>npm test pasa (Tests/sla.test.js).</t>
        </is>
      </c>
      <c r="E76" s="9" t="inlineStr">
        <is>
          <t>Ejecutar prueba funcional en el navegador y revisar commit en GitHub</t>
        </is>
      </c>
      <c r="F76" s="10" t="inlineStr">
        <is>
          <t>Crítica</t>
        </is>
      </c>
      <c r="G76" s="10" t="inlineStr">
        <is>
          <t>PENDIENTE</t>
        </is>
      </c>
      <c r="H76" s="9" t="inlineStr"/>
    </row>
    <row r="77" ht="26" customHeight="1">
      <c r="A77" s="11" t="inlineStr">
        <is>
          <t>Aplicación</t>
        </is>
      </c>
      <c r="B77" s="11" t="inlineStr">
        <is>
          <t>HU-08</t>
        </is>
      </c>
      <c r="C77" s="11" t="inlineStr">
        <is>
          <t>CA1</t>
        </is>
      </c>
      <c r="D77" s="12" t="inlineStr">
        <is>
          <t>Con septiembre: 2,3 % (dato coherente con la simulación).</t>
        </is>
      </c>
      <c r="E77" s="12" t="inlineStr">
        <is>
          <t>Ejecutar prueba funcional en el navegador y revisar commit en GitHub</t>
        </is>
      </c>
      <c r="F77" s="13" t="inlineStr">
        <is>
          <t>Crítica</t>
        </is>
      </c>
      <c r="G77" s="13" t="inlineStr">
        <is>
          <t>PENDIENTE</t>
        </is>
      </c>
      <c r="H77" s="12" t="inlineStr"/>
    </row>
    <row r="78" ht="26" customHeight="1">
      <c r="A78" s="8" t="inlineStr">
        <is>
          <t>Aplicación</t>
        </is>
      </c>
      <c r="B78" s="8" t="inlineStr">
        <is>
          <t>HU-08</t>
        </is>
      </c>
      <c r="C78" s="8" t="inlineStr">
        <is>
          <t>CA2</t>
        </is>
      </c>
      <c r="D78" s="9" t="inlineStr">
        <is>
          <t>Reconoce la tabla de ventas aunque la hoja tenga otro nombre.</t>
        </is>
      </c>
      <c r="E78" s="9" t="inlineStr">
        <is>
          <t>Ejecutar prueba funcional en el navegador y revisar commit en GitHub</t>
        </is>
      </c>
      <c r="F78" s="10" t="inlineStr">
        <is>
          <t>Crítica</t>
        </is>
      </c>
      <c r="G78" s="10" t="inlineStr">
        <is>
          <t>PENDIENTE</t>
        </is>
      </c>
      <c r="H78" s="9" t="inlineStr"/>
    </row>
    <row r="79" ht="26" customHeight="1">
      <c r="A79" s="11" t="inlineStr">
        <is>
          <t>Aplicación</t>
        </is>
      </c>
      <c r="B79" s="11" t="inlineStr">
        <is>
          <t>HU-08</t>
        </is>
      </c>
      <c r="C79" s="11" t="inlineStr">
        <is>
          <t>CA3</t>
        </is>
      </c>
      <c r="D79" s="12" t="inlineStr">
        <is>
          <t>npm test pasa (Tests/no-vendido.test.js).</t>
        </is>
      </c>
      <c r="E79" s="12" t="inlineStr">
        <is>
          <t>Ejecutar prueba funcional en el navegador y revisar commit en GitHub</t>
        </is>
      </c>
      <c r="F79" s="13" t="inlineStr">
        <is>
          <t>Crítica</t>
        </is>
      </c>
      <c r="G79" s="13" t="inlineStr">
        <is>
          <t>PENDIENTE</t>
        </is>
      </c>
      <c r="H79" s="12" t="inlineStr"/>
    </row>
    <row r="80" ht="26" customHeight="1">
      <c r="A80" s="8" t="inlineStr">
        <is>
          <t>Aplicación</t>
        </is>
      </c>
      <c r="B80" s="8" t="inlineStr">
        <is>
          <t>HU-09</t>
        </is>
      </c>
      <c r="C80" s="8" t="inlineStr">
        <is>
          <t>CA1</t>
        </is>
      </c>
      <c r="D80" s="9" t="inlineStr">
        <is>
          <t>Con septiembre: 8,03 trenzas/h-h con 652,5 horas-hombre.</t>
        </is>
      </c>
      <c r="E80" s="9" t="inlineStr">
        <is>
          <t>Ejecutar prueba funcional en el navegador y revisar commit en GitHub</t>
        </is>
      </c>
      <c r="F80" s="10" t="inlineStr">
        <is>
          <t>Crítica</t>
        </is>
      </c>
      <c r="G80" s="10" t="inlineStr">
        <is>
          <t>PENDIENTE</t>
        </is>
      </c>
      <c r="H80" s="9" t="inlineStr"/>
    </row>
    <row r="81" ht="26" customHeight="1">
      <c r="A81" s="11" t="inlineStr">
        <is>
          <t>Aplicación</t>
        </is>
      </c>
      <c r="B81" s="11" t="inlineStr">
        <is>
          <t>HU-09</t>
        </is>
      </c>
      <c r="C81" s="11" t="inlineStr">
        <is>
          <t>CA2</t>
        </is>
      </c>
      <c r="D81" s="12" t="inlineStr">
        <is>
          <t>npm test pasa (Tests/productividad.test.js).</t>
        </is>
      </c>
      <c r="E81" s="12" t="inlineStr">
        <is>
          <t>Ejecutar prueba funcional en el navegador y revisar commit en GitHub</t>
        </is>
      </c>
      <c r="F81" s="13" t="inlineStr">
        <is>
          <t>Crítica</t>
        </is>
      </c>
      <c r="G81" s="13" t="inlineStr">
        <is>
          <t>PENDIENTE</t>
        </is>
      </c>
      <c r="H81" s="12" t="inlineStr"/>
    </row>
    <row r="82" ht="26" customHeight="1">
      <c r="A82" s="8" t="inlineStr">
        <is>
          <t>Aplicación</t>
        </is>
      </c>
      <c r="B82" s="8" t="inlineStr">
        <is>
          <t>HU-10</t>
        </is>
      </c>
      <c r="C82" s="8" t="inlineStr">
        <is>
          <t>CA1</t>
        </is>
      </c>
      <c r="D82" s="9" t="inlineStr">
        <is>
          <t>Con septiembre el OEE se ve verde, la disponibilidad amarilla y el % no vendido verde.</t>
        </is>
      </c>
      <c r="E82" s="9" t="inlineStr">
        <is>
          <t>Ejecutar prueba funcional en el navegador y revisar commit en GitHub</t>
        </is>
      </c>
      <c r="F82" s="10" t="inlineStr">
        <is>
          <t>Crítica</t>
        </is>
      </c>
      <c r="G82" s="10" t="inlineStr">
        <is>
          <t>PENDIENTE</t>
        </is>
      </c>
      <c r="H82" s="9" t="inlineStr"/>
    </row>
    <row r="83" ht="26" customHeight="1">
      <c r="A83" s="11" t="inlineStr">
        <is>
          <t>Aplicación</t>
        </is>
      </c>
      <c r="B83" s="11" t="inlineStr">
        <is>
          <t>HU-10</t>
        </is>
      </c>
      <c r="C83" s="11" t="inlineStr">
        <is>
          <t>CA2</t>
        </is>
      </c>
      <c r="D83" s="12" t="inlineStr">
        <is>
          <t>Al cambiar la meta del OEE a 70 la tarjeta pasa a amarillo y se conserva al recargar.</t>
        </is>
      </c>
      <c r="E83" s="12" t="inlineStr">
        <is>
          <t>Ejecutar prueba funcional en el navegador y revisar commit en GitHub</t>
        </is>
      </c>
      <c r="F83" s="13" t="inlineStr">
        <is>
          <t>Crítica</t>
        </is>
      </c>
      <c r="G83" s="13" t="inlineStr">
        <is>
          <t>PENDIENTE</t>
        </is>
      </c>
      <c r="H83" s="12" t="inlineStr"/>
    </row>
    <row r="84" ht="26" customHeight="1">
      <c r="A84" s="8" t="inlineStr">
        <is>
          <t>Aplicación</t>
        </is>
      </c>
      <c r="B84" s="8" t="inlineStr">
        <is>
          <t>HU-10</t>
        </is>
      </c>
      <c r="C84" s="8" t="inlineStr">
        <is>
          <t>CA3</t>
        </is>
      </c>
      <c r="D84" s="9" t="inlineStr">
        <is>
          <t>npm test pasa (Tests/semaforo.test.js).</t>
        </is>
      </c>
      <c r="E84" s="9" t="inlineStr">
        <is>
          <t>Ejecutar prueba funcional en el navegador y revisar commit en GitHub</t>
        </is>
      </c>
      <c r="F84" s="10" t="inlineStr">
        <is>
          <t>Crítica</t>
        </is>
      </c>
      <c r="G84" s="10" t="inlineStr">
        <is>
          <t>PENDIENTE</t>
        </is>
      </c>
      <c r="H84" s="9" t="inlineStr"/>
    </row>
    <row r="85" ht="26" customHeight="1">
      <c r="A85" s="11" t="inlineStr">
        <is>
          <t>Aplicación</t>
        </is>
      </c>
      <c r="B85" s="11" t="inlineStr">
        <is>
          <t>HU-11</t>
        </is>
      </c>
      <c r="C85" s="11" t="inlineStr">
        <is>
          <t>CA1</t>
        </is>
      </c>
      <c r="D85" s="12" t="inlineStr">
        <is>
          <t>Del 7 al 11 de septiembre se ven 5 días y 10 turnos.</t>
        </is>
      </c>
      <c r="E85" s="12" t="inlineStr">
        <is>
          <t>Ejecutar prueba funcional en el navegador y revisar commit en GitHub</t>
        </is>
      </c>
      <c r="F85" s="13" t="inlineStr">
        <is>
          <t>Crítica</t>
        </is>
      </c>
      <c r="G85" s="13" t="inlineStr">
        <is>
          <t>PENDIENTE</t>
        </is>
      </c>
      <c r="H85" s="12" t="inlineStr"/>
    </row>
    <row r="86" ht="26" customHeight="1">
      <c r="A86" s="8" t="inlineStr">
        <is>
          <t>Aplicación</t>
        </is>
      </c>
      <c r="B86" s="8" t="inlineStr">
        <is>
          <t>HU-11</t>
        </is>
      </c>
      <c r="C86" s="8" t="inlineStr">
        <is>
          <t>CA2</t>
        </is>
      </c>
      <c r="D86" s="9" t="inlineStr">
        <is>
          <t>Con el turno T1 se ven 22 turnos y el % no vendido en N/D.</t>
        </is>
      </c>
      <c r="E86" s="9" t="inlineStr">
        <is>
          <t>Ejecutar prueba funcional en el navegador y revisar commit en GitHub</t>
        </is>
      </c>
      <c r="F86" s="10" t="inlineStr">
        <is>
          <t>Crítica</t>
        </is>
      </c>
      <c r="G86" s="10" t="inlineStr">
        <is>
          <t>PENDIENTE</t>
        </is>
      </c>
      <c r="H86" s="9" t="inlineStr"/>
    </row>
    <row r="87" ht="26" customHeight="1">
      <c r="A87" s="11" t="inlineStr">
        <is>
          <t>Aplicación</t>
        </is>
      </c>
      <c r="B87" s="11" t="inlineStr">
        <is>
          <t>HU-11</t>
        </is>
      </c>
      <c r="C87" s="11" t="inlineStr">
        <is>
          <t>CA3</t>
        </is>
      </c>
      <c r="D87" s="12" t="inlineStr">
        <is>
          <t>npm test pasa (Tests/filtros.test.js).</t>
        </is>
      </c>
      <c r="E87" s="12" t="inlineStr">
        <is>
          <t>Ejecutar prueba funcional en el navegador y revisar commit en GitHub</t>
        </is>
      </c>
      <c r="F87" s="13" t="inlineStr">
        <is>
          <t>Crítica</t>
        </is>
      </c>
      <c r="G87" s="13" t="inlineStr">
        <is>
          <t>PENDIENTE</t>
        </is>
      </c>
      <c r="H87" s="12" t="inlineStr"/>
    </row>
    <row r="88" ht="26" customHeight="1">
      <c r="A88" s="8" t="inlineStr">
        <is>
          <t>Aplicación</t>
        </is>
      </c>
      <c r="B88" s="8" t="inlineStr">
        <is>
          <t>HU-12</t>
        </is>
      </c>
      <c r="C88" s="8" t="inlineStr">
        <is>
          <t>CA1</t>
        </is>
      </c>
      <c r="D88" s="9" t="inlineStr">
        <is>
          <t>Con septiembre se dibujan 6 gráficos sin errores.</t>
        </is>
      </c>
      <c r="E88" s="9" t="inlineStr">
        <is>
          <t>Ejecutar prueba funcional en el navegador y revisar commit en GitHub</t>
        </is>
      </c>
      <c r="F88" s="10" t="inlineStr">
        <is>
          <t>Crítica</t>
        </is>
      </c>
      <c r="G88" s="10" t="inlineStr">
        <is>
          <t>PENDIENTE</t>
        </is>
      </c>
      <c r="H88" s="9" t="inlineStr"/>
    </row>
    <row r="89" ht="26" customHeight="1">
      <c r="A89" s="11" t="inlineStr">
        <is>
          <t>Aplicación</t>
        </is>
      </c>
      <c r="B89" s="11" t="inlineStr">
        <is>
          <t>HU-12</t>
        </is>
      </c>
      <c r="C89" s="11" t="inlineStr">
        <is>
          <t>CA2</t>
        </is>
      </c>
      <c r="D89" s="12" t="inlineStr">
        <is>
          <t>El Pareto queda ordenado de mayor a menor y su acumulado llega a 100 %.</t>
        </is>
      </c>
      <c r="E89" s="12" t="inlineStr">
        <is>
          <t>Ejecutar prueba funcional en el navegador y revisar commit en GitHub</t>
        </is>
      </c>
      <c r="F89" s="13" t="inlineStr">
        <is>
          <t>Crítica</t>
        </is>
      </c>
      <c r="G89" s="13" t="inlineStr">
        <is>
          <t>PENDIENTE</t>
        </is>
      </c>
      <c r="H89" s="12" t="inlineStr"/>
    </row>
    <row r="90" ht="26" customHeight="1">
      <c r="A90" s="8" t="inlineStr">
        <is>
          <t>Aplicación</t>
        </is>
      </c>
      <c r="B90" s="8" t="inlineStr">
        <is>
          <t>HU-12</t>
        </is>
      </c>
      <c r="C90" s="8" t="inlineStr">
        <is>
          <t>CA3</t>
        </is>
      </c>
      <c r="D90" s="9" t="inlineStr">
        <is>
          <t>npm test pasa (Tests/graficos.test.js).</t>
        </is>
      </c>
      <c r="E90" s="9" t="inlineStr">
        <is>
          <t>Ejecutar prueba funcional en el navegador y revisar commit en GitHub</t>
        </is>
      </c>
      <c r="F90" s="10" t="inlineStr">
        <is>
          <t>Crítica</t>
        </is>
      </c>
      <c r="G90" s="10" t="inlineStr">
        <is>
          <t>PENDIENTE</t>
        </is>
      </c>
      <c r="H90" s="9" t="inlineStr"/>
    </row>
    <row r="91" ht="26" customHeight="1">
      <c r="A91" s="11" t="inlineStr">
        <is>
          <t>Aplicación</t>
        </is>
      </c>
      <c r="B91" s="11" t="inlineStr">
        <is>
          <t>HU-13</t>
        </is>
      </c>
      <c r="C91" s="11" t="inlineStr">
        <is>
          <t>CA1</t>
        </is>
      </c>
      <c r="D91" s="12" t="inlineStr">
        <is>
          <t>Con septiembre se muestran 8 hallazgos coherentes con las tarjetas.</t>
        </is>
      </c>
      <c r="E91" s="12" t="inlineStr">
        <is>
          <t>Ejecutar prueba funcional en el navegador y revisar commit en GitHub</t>
        </is>
      </c>
      <c r="F91" s="13" t="inlineStr">
        <is>
          <t>Crítica</t>
        </is>
      </c>
      <c r="G91" s="13" t="inlineStr">
        <is>
          <t>PENDIENTE</t>
        </is>
      </c>
      <c r="H91" s="12" t="inlineStr"/>
    </row>
    <row r="92" ht="26" customHeight="1">
      <c r="A92" s="8" t="inlineStr">
        <is>
          <t>Aplicación</t>
        </is>
      </c>
      <c r="B92" s="8" t="inlineStr">
        <is>
          <t>HU-13</t>
        </is>
      </c>
      <c r="C92" s="8" t="inlineStr">
        <is>
          <t>CA2</t>
        </is>
      </c>
      <c r="D92" s="9" t="inlineStr">
        <is>
          <t>Cuando el filtro no deja registros, el panel lo dice.</t>
        </is>
      </c>
      <c r="E92" s="9" t="inlineStr">
        <is>
          <t>Ejecutar prueba funcional en el navegador y revisar commit en GitHub</t>
        </is>
      </c>
      <c r="F92" s="10" t="inlineStr">
        <is>
          <t>Crítica</t>
        </is>
      </c>
      <c r="G92" s="10" t="inlineStr">
        <is>
          <t>PENDIENTE</t>
        </is>
      </c>
      <c r="H92" s="9" t="inlineStr"/>
    </row>
    <row r="93" ht="26" customHeight="1">
      <c r="A93" s="11" t="inlineStr">
        <is>
          <t>Aplicación</t>
        </is>
      </c>
      <c r="B93" s="11" t="inlineStr">
        <is>
          <t>HU-14</t>
        </is>
      </c>
      <c r="C93" s="11" t="inlineStr">
        <is>
          <t>CA1</t>
        </is>
      </c>
      <c r="D93" s="12" t="inlineStr">
        <is>
          <t>El CSV abre en Excel con columnas separadas y decimales con coma.</t>
        </is>
      </c>
      <c r="E93" s="12" t="inlineStr">
        <is>
          <t>Ejecutar prueba funcional en el navegador y revisar commit en GitHub</t>
        </is>
      </c>
      <c r="F93" s="13" t="inlineStr">
        <is>
          <t>Crítica</t>
        </is>
      </c>
      <c r="G93" s="13" t="inlineStr">
        <is>
          <t>PENDIENTE</t>
        </is>
      </c>
      <c r="H93" s="12" t="inlineStr"/>
    </row>
    <row r="94" ht="26" customHeight="1">
      <c r="A94" s="8" t="inlineStr">
        <is>
          <t>Aplicación</t>
        </is>
      </c>
      <c r="B94" s="8" t="inlineStr">
        <is>
          <t>HU-14</t>
        </is>
      </c>
      <c r="C94" s="8" t="inlineStr">
        <is>
          <t>CA2</t>
        </is>
      </c>
      <c r="D94" s="9" t="inlineStr">
        <is>
          <t>La impresión muestra tarjetas y gráficos sin los botones.</t>
        </is>
      </c>
      <c r="E94" s="9" t="inlineStr">
        <is>
          <t>Ejecutar prueba funcional en el navegador y revisar commit en GitHub</t>
        </is>
      </c>
      <c r="F94" s="10" t="inlineStr">
        <is>
          <t>Crítica</t>
        </is>
      </c>
      <c r="G94" s="10" t="inlineStr">
        <is>
          <t>PENDIENTE</t>
        </is>
      </c>
      <c r="H94" s="9" t="inlineStr"/>
    </row>
    <row r="95" ht="26" customHeight="1">
      <c r="A95" s="11" t="inlineStr">
        <is>
          <t>Aplicación</t>
        </is>
      </c>
      <c r="B95" s="11" t="inlineStr">
        <is>
          <t>HU-15</t>
        </is>
      </c>
      <c r="C95" s="11" t="inlineStr">
        <is>
          <t>CA1</t>
        </is>
      </c>
      <c r="D95" s="12" t="inlineStr">
        <is>
          <t>Con octubre: 42 turnos y los 7 indicadores iguales a la hoja Verificacion.</t>
        </is>
      </c>
      <c r="E95" s="12" t="inlineStr">
        <is>
          <t>Ejecutar prueba funcional en el navegador y revisar commit en GitHub</t>
        </is>
      </c>
      <c r="F95" s="13" t="inlineStr">
        <is>
          <t>Crítica</t>
        </is>
      </c>
      <c r="G95" s="13" t="inlineStr">
        <is>
          <t>PENDIENTE</t>
        </is>
      </c>
      <c r="H95" s="12" t="inlineStr"/>
    </row>
    <row r="96" ht="26" customHeight="1">
      <c r="A96" s="8" t="inlineStr">
        <is>
          <t>Aplicación</t>
        </is>
      </c>
      <c r="B96" s="8" t="inlineStr">
        <is>
          <t>HU-15</t>
        </is>
      </c>
      <c r="C96" s="8" t="inlineStr">
        <is>
          <t>CA2</t>
        </is>
      </c>
      <c r="D96" s="9" t="inlineStr">
        <is>
          <t>Con la base del curso: OEE 61,9 % y gráfico por equipo.</t>
        </is>
      </c>
      <c r="E96" s="9" t="inlineStr">
        <is>
          <t>Ejecutar prueba funcional en el navegador y revisar commit en GitHub</t>
        </is>
      </c>
      <c r="F96" s="10" t="inlineStr">
        <is>
          <t>Crítica</t>
        </is>
      </c>
      <c r="G96" s="10" t="inlineStr">
        <is>
          <t>PENDIENTE</t>
        </is>
      </c>
      <c r="H96" s="9" t="inlineStr"/>
    </row>
    <row r="97" ht="26" customHeight="1">
      <c r="A97" s="11" t="inlineStr">
        <is>
          <t>Aplicación</t>
        </is>
      </c>
      <c r="B97" s="11" t="inlineStr">
        <is>
          <t>HU-15</t>
        </is>
      </c>
      <c r="C97" s="11" t="inlineStr">
        <is>
          <t>CA3</t>
        </is>
      </c>
      <c r="D97" s="12" t="inlineStr">
        <is>
          <t>npm test: 33 pruebas aprobadas.</t>
        </is>
      </c>
      <c r="E97" s="12" t="inlineStr">
        <is>
          <t>Ejecutar prueba funcional en el navegador y revisar commit en GitHub</t>
        </is>
      </c>
      <c r="F97" s="13" t="inlineStr">
        <is>
          <t>Crítica</t>
        </is>
      </c>
      <c r="G97" s="13" t="inlineStr">
        <is>
          <t>PENDIENTE</t>
        </is>
      </c>
      <c r="H97" s="12" t="inlineStr"/>
    </row>
    <row r="98" ht="26" customHeight="1">
      <c r="A98" s="8" t="inlineStr">
        <is>
          <t>Aplicación</t>
        </is>
      </c>
      <c r="B98" s="8" t="inlineStr">
        <is>
          <t>HU-15</t>
        </is>
      </c>
      <c r="C98" s="8" t="inlineStr">
        <is>
          <t>CA4</t>
        </is>
      </c>
      <c r="D98" s="9" t="inlineStr">
        <is>
          <t>Los casos E1 a E11 quedan registrados con su resultado.</t>
        </is>
      </c>
      <c r="E98" s="9" t="inlineStr">
        <is>
          <t>Ejecutar prueba funcional en el navegador y revisar commit en GitHub</t>
        </is>
      </c>
      <c r="F98" s="10" t="inlineStr">
        <is>
          <t>Crítica</t>
        </is>
      </c>
      <c r="G98" s="10" t="inlineStr">
        <is>
          <t>PENDIENTE</t>
        </is>
      </c>
      <c r="H98" s="9" t="inlineStr"/>
    </row>
    <row r="99" ht="26" customHeight="1">
      <c r="A99" s="11" t="inlineStr">
        <is>
          <t>Aplicación</t>
        </is>
      </c>
      <c r="B99" s="11" t="inlineStr">
        <is>
          <t>HU-16</t>
        </is>
      </c>
      <c r="C99" s="11" t="inlineStr">
        <is>
          <t>CA1</t>
        </is>
      </c>
      <c r="D99" s="12" t="inlineStr">
        <is>
          <t>La URL /exec abre la versión final y genera el tablero con el archivo de octubre.</t>
        </is>
      </c>
      <c r="E99" s="12" t="inlineStr">
        <is>
          <t>Ejecutar prueba funcional en el navegador y revisar commit en GitHub</t>
        </is>
      </c>
      <c r="F99" s="13" t="inlineStr">
        <is>
          <t>Crítica</t>
        </is>
      </c>
      <c r="G99" s="13" t="inlineStr">
        <is>
          <t>PENDIENTE</t>
        </is>
      </c>
      <c r="H99" s="12" t="inlineStr"/>
    </row>
    <row r="100" ht="26" customHeight="1">
      <c r="A100" s="8" t="inlineStr">
        <is>
          <t>Aplicación</t>
        </is>
      </c>
      <c r="B100" s="8" t="inlineStr">
        <is>
          <t>HU-16</t>
        </is>
      </c>
      <c r="C100" s="8" t="inlineStr">
        <is>
          <t>CA2</t>
        </is>
      </c>
      <c r="D100" s="9" t="inlineStr">
        <is>
          <t>El enlace de GitHub Pages abre la misma aplicación.</t>
        </is>
      </c>
      <c r="E100" s="9" t="inlineStr">
        <is>
          <t>Ejecutar prueba funcional en el navegador y revisar commit en GitHub</t>
        </is>
      </c>
      <c r="F100" s="10" t="inlineStr">
        <is>
          <t>Crítica</t>
        </is>
      </c>
      <c r="G100" s="10" t="inlineStr">
        <is>
          <t>PENDIENTE</t>
        </is>
      </c>
      <c r="H100" s="9" t="inlineStr"/>
    </row>
    <row r="101" ht="26" customHeight="1">
      <c r="A101" s="11" t="inlineStr">
        <is>
          <t>Aplicación</t>
        </is>
      </c>
      <c r="B101" s="11" t="inlineStr">
        <is>
          <t>HU-16</t>
        </is>
      </c>
      <c r="C101" s="11" t="inlineStr">
        <is>
          <t>CA3</t>
        </is>
      </c>
      <c r="D101" s="12" t="inlineStr">
        <is>
          <t>El manual explica cómo preparar los datos, generar y leer el tablero.</t>
        </is>
      </c>
      <c r="E101" s="12" t="inlineStr">
        <is>
          <t>Ejecutar prueba funcional en el navegador y revisar commit en GitHub</t>
        </is>
      </c>
      <c r="F101" s="13" t="inlineStr">
        <is>
          <t>Crítica</t>
        </is>
      </c>
      <c r="G101" s="13" t="inlineStr">
        <is>
          <t>PENDIENTE</t>
        </is>
      </c>
      <c r="H101" s="12" t="inlineStr"/>
    </row>
  </sheetData>
  <mergeCells count="2">
    <mergeCell ref="A2:H2"/>
    <mergeCell ref="A1:H1"/>
  </mergeCells>
  <conditionalFormatting sqref="G5:G101">
    <cfRule type="cellIs" priority="1" operator="equal" dxfId="0" stopIfTrue="1">
      <formula>"CUMPLE"</formula>
    </cfRule>
    <cfRule type="cellIs" priority="2" operator="equal" dxfId="1" stopIfTrue="1">
      <formula>"NO CUMPLE"</formula>
    </cfRule>
    <cfRule type="cellIs" priority="3" operator="equal" dxfId="2" stopIfTrue="1">
      <formula>"PARCIAL"</formula>
    </cfRule>
    <cfRule type="cellIs" priority="4" operator="equal" dxfId="3" stopIfTrue="1">
      <formula>"PENDIENTE"</formula>
    </cfRule>
  </conditionalFormatting>
  <dataValidations count="1">
    <dataValidation sqref="G5:G101" showDropDown="0" showInputMessage="0" showErrorMessage="0" allowBlank="1" type="list">
      <formula1>"CUMPLE,NO CUMPLE,PARCIAL,PENDIENTE"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cols>
    <col width="12" customWidth="1" min="1" max="1"/>
    <col width="28" customWidth="1" min="2" max="2"/>
    <col width="25" customWidth="1" min="3" max="3"/>
    <col width="38" customWidth="1" min="4" max="4"/>
    <col width="28" customWidth="1" min="5" max="5"/>
    <col width="38" customWidth="1" min="6" max="6"/>
    <col width="25" customWidth="1" min="7" max="7"/>
    <col width="18" customWidth="1" min="8" max="8"/>
  </cols>
  <sheetData>
    <row r="1" ht="25" customHeight="1">
      <c r="A1" s="1" t="inlineStr">
        <is>
          <t>PLAN DE PRUEBAS FUNCIONALES Y VERIFICACIÓN MATEMÁTICA DE INDICADORES</t>
        </is>
      </c>
    </row>
    <row r="2" ht="18" customHeight="1">
      <c r="A2" s="3" t="inlineStr">
        <is>
          <t>Pruebas de caja negra para certificar la aplicación web y asegurar una demostración sin fallos (HU-23 y HU-15).</t>
        </is>
      </c>
    </row>
    <row r="4" ht="28" customHeight="1">
      <c r="A4" s="7" t="inlineStr">
        <is>
          <t>ID Caso</t>
        </is>
      </c>
      <c r="B4" s="7" t="inlineStr">
        <is>
          <t>Módulo / Funcionalidad</t>
        </is>
      </c>
      <c r="C4" s="7" t="inlineStr">
        <is>
          <t>Precondición</t>
        </is>
      </c>
      <c r="D4" s="7" t="inlineStr">
        <is>
          <t>Pasos de Ejecución</t>
        </is>
      </c>
      <c r="E4" s="7" t="inlineStr">
        <is>
          <t>Datos de Entrada / Archivo</t>
        </is>
      </c>
      <c r="F4" s="7" t="inlineStr">
        <is>
          <t>Resultado Esperado</t>
        </is>
      </c>
      <c r="G4" s="7" t="inlineStr">
        <is>
          <t>Resultado Obtenido</t>
        </is>
      </c>
      <c r="H4" s="7" t="inlineStr">
        <is>
          <t>Estado (Desplegable)</t>
        </is>
      </c>
    </row>
    <row r="5" ht="34" customHeight="1">
      <c r="A5" s="11" t="inlineStr">
        <is>
          <t>CP-01</t>
        </is>
      </c>
      <c r="B5" s="12" t="inlineStr">
        <is>
          <t>Carga de Archivo Excel</t>
        </is>
      </c>
      <c r="C5" s="12" t="inlineStr">
        <is>
          <t>Aplicación abierta en el navegador</t>
        </is>
      </c>
      <c r="D5" s="12" t="inlineStr">
        <is>
          <t>1. Clic en 'Seleccionar archivo'
2. Escoger 'Base_Panaderia_Indicadores.xlsx'
3. Clic en Procesar</t>
        </is>
      </c>
      <c r="E5" s="12" t="inlineStr">
        <is>
          <t>Base_Panaderia_Indicadores.xlsx</t>
        </is>
      </c>
      <c r="F5" s="12" t="inlineStr">
        <is>
          <t>El sistema lee el archivo en memoria sin errores y notifica 'Archivo cargado con éxito'</t>
        </is>
      </c>
      <c r="G5" s="13" t="inlineStr">
        <is>
          <t>PENDIENTE</t>
        </is>
      </c>
      <c r="H5" s="13" t="inlineStr">
        <is>
          <t>PENDIENTE</t>
        </is>
      </c>
    </row>
    <row r="6" ht="34" customHeight="1">
      <c r="A6" s="8" t="inlineStr">
        <is>
          <t>CP-02</t>
        </is>
      </c>
      <c r="B6" s="9" t="inlineStr">
        <is>
          <t>Validación de Estructura de Tablas</t>
        </is>
      </c>
      <c r="C6" s="9" t="inlineStr">
        <is>
          <t>Archivo cargado</t>
        </is>
      </c>
      <c r="D6" s="9" t="inlineStr">
        <is>
          <t>1. El sistema inspecciona nombres de columnas de Producción, Paradas, Ventas y Despachos</t>
        </is>
      </c>
      <c r="E6" s="9" t="inlineStr">
        <is>
          <t>Columnas del libro de Excel</t>
        </is>
      </c>
      <c r="F6" s="9" t="inlineStr">
        <is>
          <t>Reconoce automáticamente las tablas y valida que los tipos de datos sean correctos</t>
        </is>
      </c>
      <c r="G6" s="10" t="inlineStr">
        <is>
          <t>PENDIENTE</t>
        </is>
      </c>
      <c r="H6" s="10" t="inlineStr">
        <is>
          <t>PENDIENTE</t>
        </is>
      </c>
    </row>
    <row r="7" ht="34" customHeight="1">
      <c r="A7" s="11" t="inlineStr">
        <is>
          <t>CP-03</t>
        </is>
      </c>
      <c r="B7" s="12" t="inlineStr">
        <is>
          <t>Cálculo del Indicador OEE del Horno</t>
        </is>
      </c>
      <c r="C7" s="12" t="inlineStr">
        <is>
          <t>Datos de producción y paradas cargados</t>
        </is>
      </c>
      <c r="D7" s="12" t="inlineStr">
        <is>
          <t>1. Ir a tarjeta OEE
2. Comparar Disponibilidad × Rendimiento × Calidad con cálculo manual</t>
        </is>
      </c>
      <c r="E7" s="12" t="inlineStr">
        <is>
          <t>Tiempo operativo, paradas, unidades programadas y unidades conformes</t>
        </is>
      </c>
      <c r="F7" s="12" t="inlineStr">
        <is>
          <t>El valor del OEE coincide exactamente con el cálculo manual (A x R x Q)</t>
        </is>
      </c>
      <c r="G7" s="13" t="inlineStr">
        <is>
          <t>PENDIENTE</t>
        </is>
      </c>
      <c r="H7" s="13" t="inlineStr">
        <is>
          <t>PENDIENTE</t>
        </is>
      </c>
    </row>
    <row r="8" ht="34" customHeight="1">
      <c r="A8" s="8" t="inlineStr">
        <is>
          <t>CP-04</t>
        </is>
      </c>
      <c r="B8" s="9" t="inlineStr">
        <is>
          <t>Cálculo del Indicador SLA (Nivel de Servicio)</t>
        </is>
      </c>
      <c r="C8" s="9" t="inlineStr">
        <is>
          <t>Datos de despachos cargados</t>
        </is>
      </c>
      <c r="D8" s="9" t="inlineStr">
        <is>
          <t>1. Ir a tarjeta SLA
2. Verificar fórmula: Pedidos a tiempo y completos / Total pedidos</t>
        </is>
      </c>
      <c r="E8" s="9" t="inlineStr">
        <is>
          <t>Despachos totales vs despachos a tiempo y conformes</t>
        </is>
      </c>
      <c r="F8" s="9" t="inlineStr">
        <is>
          <t>El porcentaje de SLA refleja exactamente la proporción matemática sin desfases</t>
        </is>
      </c>
      <c r="G8" s="10" t="inlineStr">
        <is>
          <t>PENDIENTE</t>
        </is>
      </c>
      <c r="H8" s="10" t="inlineStr">
        <is>
          <t>PENDIENTE</t>
        </is>
      </c>
    </row>
    <row r="9" ht="34" customHeight="1">
      <c r="A9" s="11" t="inlineStr">
        <is>
          <t>CP-05</t>
        </is>
      </c>
      <c r="B9" s="12" t="inlineStr">
        <is>
          <t>Cálculo del % No Vendido</t>
        </is>
      </c>
      <c r="C9" s="12" t="inlineStr">
        <is>
          <t>Datos de producción y ventas cargados</t>
        </is>
      </c>
      <c r="D9" s="12" t="inlineStr">
        <is>
          <t>1. Ir a tarjeta % No Vendido
2. Aplicar: (Unidades buenas - Unidades vendidas) / Unidades buenas</t>
        </is>
      </c>
      <c r="E9" s="12" t="inlineStr">
        <is>
          <t>Unidades buenas producidas vs vendidas</t>
        </is>
      </c>
      <c r="F9" s="12" t="inlineStr">
        <is>
          <t>El indicador muestra el porcentaje exacto de merma/pan sobrante</t>
        </is>
      </c>
      <c r="G9" s="13" t="inlineStr">
        <is>
          <t>PENDIENTE</t>
        </is>
      </c>
      <c r="H9" s="13" t="inlineStr">
        <is>
          <t>PENDIENTE</t>
        </is>
      </c>
    </row>
    <row r="10" ht="34" customHeight="1">
      <c r="A10" s="8" t="inlineStr">
        <is>
          <t>CP-06</t>
        </is>
      </c>
      <c r="B10" s="9" t="inlineStr">
        <is>
          <t>Cálculo de Productividad</t>
        </is>
      </c>
      <c r="C10" s="9" t="inlineStr">
        <is>
          <t>Datos de personal y producción cargados</t>
        </is>
      </c>
      <c r="D10" s="9" t="inlineStr">
        <is>
          <t>1. Ir a tarjeta Productividad
2. Aplicar: Unidades buenas / Horas-hombre empleadas</t>
        </is>
      </c>
      <c r="E10" s="9" t="inlineStr">
        <is>
          <t>Unidades conformes y horas trabajadas por operarios</t>
        </is>
      </c>
      <c r="F10" s="9" t="inlineStr">
        <is>
          <t>Muestra unidades de pan trenza producidas por hora-hombre con unidades claras</t>
        </is>
      </c>
      <c r="G10" s="10" t="inlineStr">
        <is>
          <t>PENDIENTE</t>
        </is>
      </c>
      <c r="H10" s="10" t="inlineStr">
        <is>
          <t>PENDIENTE</t>
        </is>
      </c>
    </row>
    <row r="11" ht="34" customHeight="1">
      <c r="A11" s="11" t="inlineStr">
        <is>
          <t>CP-07</t>
        </is>
      </c>
      <c r="B11" s="12" t="inlineStr">
        <is>
          <t>Filtros Interactivos del Dashboard</t>
        </is>
      </c>
      <c r="C11" s="12" t="inlineStr">
        <is>
          <t>Tablero visualizado con datos</t>
        </is>
      </c>
      <c r="D11" s="12" t="inlineStr">
        <is>
          <t>1. Cambiar selector de Turno (Turno 1 / Turno 2)
2. Cambiar rango de fechas
3. Observar recálculo de tarjetas</t>
        </is>
      </c>
      <c r="E11" s="12" t="inlineStr">
        <is>
          <t>Filtro: Turno 1 (06:00-14:00)</t>
        </is>
      </c>
      <c r="F11" s="12" t="inlineStr">
        <is>
          <t>Todos los gráficos e indicadores se recalculan dinámicamente según el filtro seleccionado</t>
        </is>
      </c>
      <c r="G11" s="13" t="inlineStr">
        <is>
          <t>PENDIENTE</t>
        </is>
      </c>
      <c r="H11" s="13" t="inlineStr">
        <is>
          <t>PENDIENTE</t>
        </is>
      </c>
    </row>
    <row r="12" ht="34" customHeight="1">
      <c r="A12" s="8" t="inlineStr">
        <is>
          <t>CP-08</t>
        </is>
      </c>
      <c r="B12" s="9" t="inlineStr">
        <is>
          <t>Prueba con Archivo Distinto (HU-15)</t>
        </is>
      </c>
      <c r="C12" s="9" t="inlineStr">
        <is>
          <t>Aplicación abierta</t>
        </is>
      </c>
      <c r="D12" s="9" t="inlineStr">
        <is>
          <t>1. Cargar archivo simulado alternativo con fechas y volúmenes diferentes al de desarrollo</t>
        </is>
      </c>
      <c r="E12" s="9" t="inlineStr">
        <is>
          <t>Archivo de prueba alternativo (sustentación)</t>
        </is>
      </c>
      <c r="F12" s="9" t="inlineStr">
        <is>
          <t>La aplicación procesa los nuevos datos limpiamente sin quedarse congelada</t>
        </is>
      </c>
      <c r="G12" s="10" t="inlineStr">
        <is>
          <t>PENDIENTE</t>
        </is>
      </c>
      <c r="H12" s="10" t="inlineStr">
        <is>
          <t>PENDIENTE</t>
        </is>
      </c>
    </row>
  </sheetData>
  <mergeCells count="2">
    <mergeCell ref="A2:H2"/>
    <mergeCell ref="A1:H1"/>
  </mergeCells>
  <conditionalFormatting sqref="H5:H12">
    <cfRule type="cellIs" priority="1" operator="equal" dxfId="0" stopIfTrue="1">
      <formula>"APROBADO"</formula>
    </cfRule>
    <cfRule type="cellIs" priority="2" operator="equal" dxfId="1" stopIfTrue="1">
      <formula>"RECHAZADO"</formula>
    </cfRule>
    <cfRule type="cellIs" priority="3" operator="equal" dxfId="2" stopIfTrue="1">
      <formula>"EN REVISIÓN"</formula>
    </cfRule>
    <cfRule type="cellIs" priority="4" operator="equal" dxfId="3" stopIfTrue="1">
      <formula>"PENDIENTE"</formula>
    </cfRule>
  </conditionalFormatting>
  <dataValidations count="1">
    <dataValidation sqref="H5:H12" showDropDown="0" showInputMessage="0" showErrorMessage="0" allowBlank="1" type="list">
      <formula1>"PASA,FALLA,BLOQUEADO,PENDIENTE"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2" customWidth="1" min="1" max="1"/>
    <col width="16" customWidth="1" min="2" max="2"/>
    <col width="42" customWidth="1" min="3" max="3"/>
    <col width="16" customWidth="1" min="4" max="4"/>
    <col width="20" customWidth="1" min="5" max="5"/>
    <col width="16" customWidth="1" min="6" max="6"/>
    <col width="20" customWidth="1" min="7" max="7"/>
    <col width="15" customWidth="1" min="8" max="8"/>
    <col width="15" customWidth="1" min="9" max="9"/>
    <col width="28" customWidth="1" min="10" max="10"/>
  </cols>
  <sheetData>
    <row r="1" ht="25" customHeight="1">
      <c r="A1" s="1" t="inlineStr">
        <is>
          <t>REGISTRO FORMAL DE NO CONFORMIDADES, DEFECTOS Y OBSERVACIONES DE QA</t>
        </is>
      </c>
    </row>
    <row r="2" ht="18" customHeight="1">
      <c r="A2" s="3" t="inlineStr">
        <is>
          <t>Bitácora para que Camila asigne errores y rechazos a Juan Pablo, Juan José e Iván antes de dar el visto bueno.</t>
        </is>
      </c>
    </row>
    <row r="4" ht="28" customHeight="1">
      <c r="A4" s="7" t="inlineStr">
        <is>
          <t>ID Defecto</t>
        </is>
      </c>
      <c r="B4" s="7" t="inlineStr">
        <is>
          <t>Historia Asociada</t>
        </is>
      </c>
      <c r="C4" s="7" t="inlineStr">
        <is>
          <t>Descripción del Hallazgo / Defecto</t>
        </is>
      </c>
      <c r="D4" s="7" t="inlineStr">
        <is>
          <t>Tipo de Error</t>
        </is>
      </c>
      <c r="E4" s="7" t="inlineStr">
        <is>
          <t>Severidad (Desplegable)</t>
        </is>
      </c>
      <c r="F4" s="7" t="inlineStr">
        <is>
          <t>Asignado a</t>
        </is>
      </c>
      <c r="G4" s="7" t="inlineStr">
        <is>
          <t>Estado (Desplegable)</t>
        </is>
      </c>
      <c r="H4" s="7" t="inlineStr">
        <is>
          <t>Fecha Detección</t>
        </is>
      </c>
      <c r="I4" s="7" t="inlineStr">
        <is>
          <t>Fecha Resolución</t>
        </is>
      </c>
      <c r="J4" s="7" t="inlineStr">
        <is>
          <t>Validación Final de Camila</t>
        </is>
      </c>
    </row>
    <row r="5" ht="25" customHeight="1">
      <c r="A5" s="11" t="inlineStr">
        <is>
          <t>BUG-01</t>
        </is>
      </c>
      <c r="B5" s="13" t="inlineStr">
        <is>
          <t>HU-19</t>
        </is>
      </c>
      <c r="C5" s="12" t="inlineStr">
        <is>
          <t>El bloque de 'Canales' en la hoja CANVAS no especifica distribución directa a tiendas</t>
        </is>
      </c>
      <c r="D5" s="13" t="inlineStr">
        <is>
          <t>Contenido</t>
        </is>
      </c>
      <c r="E5" s="13" t="inlineStr">
        <is>
          <t>Media</t>
        </is>
      </c>
      <c r="F5" s="13" t="inlineStr">
        <is>
          <t>Juan Pablo</t>
        </is>
      </c>
      <c r="G5" s="13" t="inlineStr">
        <is>
          <t>ABIERTO</t>
        </is>
      </c>
      <c r="H5" s="13" t="inlineStr">
        <is>
          <t>2026-10-28</t>
        </is>
      </c>
      <c r="I5" s="13" t="inlineStr"/>
      <c r="J5" s="12" t="inlineStr">
        <is>
          <t>Pendiente de completar por Juan Pablo</t>
        </is>
      </c>
    </row>
    <row r="6" ht="25" customHeight="1">
      <c r="A6" s="8" t="inlineStr">
        <is>
          <t>BUG-02</t>
        </is>
      </c>
      <c r="B6" s="10" t="inlineStr">
        <is>
          <t>HU-22</t>
        </is>
      </c>
      <c r="C6" s="9" t="inlineStr">
        <is>
          <t>Faltan enlaces a los commits del repositorio de GitHub en la tabla de control de cambios</t>
        </is>
      </c>
      <c r="D6" s="10" t="inlineStr">
        <is>
          <t>Trazabilidad</t>
        </is>
      </c>
      <c r="E6" s="10" t="inlineStr">
        <is>
          <t>Alta</t>
        </is>
      </c>
      <c r="F6" s="10" t="inlineStr">
        <is>
          <t>Juan Pablo</t>
        </is>
      </c>
      <c r="G6" s="10" t="inlineStr">
        <is>
          <t>ABIERTO</t>
        </is>
      </c>
      <c r="H6" s="10" t="inlineStr">
        <is>
          <t>2026-10-28</t>
        </is>
      </c>
      <c r="I6" s="10" t="inlineStr"/>
      <c r="J6" s="9" t="inlineStr">
        <is>
          <t>Revisar tras añadir enlaces</t>
        </is>
      </c>
    </row>
    <row r="7" ht="25" customHeight="1">
      <c r="A7" s="11" t="inlineStr">
        <is>
          <t>BUG-03</t>
        </is>
      </c>
      <c r="B7" s="13" t="inlineStr">
        <is>
          <t>HU-06</t>
        </is>
      </c>
      <c r="C7" s="12" t="inlineStr">
        <is>
          <t>En la fórmula de OEE en JavaScript, verificar si la velocidad nominal del horno está en unid/min o unid/h</t>
        </is>
      </c>
      <c r="D7" s="13" t="inlineStr">
        <is>
          <t>Cálculo</t>
        </is>
      </c>
      <c r="E7" s="13" t="inlineStr">
        <is>
          <t>Alta</t>
        </is>
      </c>
      <c r="F7" s="13" t="inlineStr">
        <is>
          <t>Juan José</t>
        </is>
      </c>
      <c r="G7" s="13" t="inlineStr">
        <is>
          <t>EN CORRECCIÓN</t>
        </is>
      </c>
      <c r="H7" s="13" t="inlineStr">
        <is>
          <t>2026-10-28</t>
        </is>
      </c>
      <c r="I7" s="13" t="inlineStr"/>
      <c r="J7" s="12" t="inlineStr">
        <is>
          <t>Verificar coherencia de unidades</t>
        </is>
      </c>
    </row>
    <row r="8" ht="25" customHeight="1">
      <c r="A8" s="8" t="inlineStr">
        <is>
          <t>BUG-04</t>
        </is>
      </c>
      <c r="B8" s="10" t="inlineStr">
        <is>
          <t>HU-21</t>
        </is>
      </c>
      <c r="C8" s="9" t="inlineStr">
        <is>
          <t>En opciones de financiación falta detallar el impacto de la tasa de interés en el flujo de caja</t>
        </is>
      </c>
      <c r="D8" s="10" t="inlineStr">
        <is>
          <t>Análisis</t>
        </is>
      </c>
      <c r="E8" s="10" t="inlineStr">
        <is>
          <t>Baja</t>
        </is>
      </c>
      <c r="F8" s="10" t="inlineStr">
        <is>
          <t>María Camila</t>
        </is>
      </c>
      <c r="G8" s="10" t="inlineStr">
        <is>
          <t>ABIERTO</t>
        </is>
      </c>
      <c r="H8" s="10" t="inlineStr">
        <is>
          <t>2026-10-28</t>
        </is>
      </c>
      <c r="I8" s="10" t="inlineStr"/>
      <c r="J8" s="9" t="inlineStr">
        <is>
          <t>Añadir nota explicativa</t>
        </is>
      </c>
    </row>
  </sheetData>
  <mergeCells count="2">
    <mergeCell ref="A1:J1"/>
    <mergeCell ref="A2:J2"/>
  </mergeCells>
  <dataValidations count="2">
    <dataValidation sqref="G5:G20" showDropDown="0" showInputMessage="0" showErrorMessage="0" allowBlank="1" type="list">
      <formula1>"ABIERTO,EN CORRECCIÓN,RESUELTO,CERRADO"</formula1>
    </dataValidation>
    <dataValidation sqref="E5:E20" showDropDown="0" showInputMessage="0" showErrorMessage="0" allowBlank="1" type="list">
      <formula1>"Bloqueante,Alta,Media,Baja"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2026-10-28T23:15:08Z</dcterms:created>
  <dcterms:modified xsi:type="dcterms:W3CDTF">2026-10-28T23:15:08Z</dcterms:modified>
</cp:coreProperties>
</file>