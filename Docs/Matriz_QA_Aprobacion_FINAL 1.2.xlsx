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Users/mariacamilatamayocuesta/Desktop/"/>
    </mc:Choice>
  </mc:AlternateContent>
  <xr:revisionPtr revIDLastSave="0" documentId="8_{26CE2A66-C8BE-DF42-A66F-A288244EAF4D}" xr6:coauthVersionLast="47" xr6:coauthVersionMax="47" xr10:uidLastSave="{00000000-0000-0000-0000-000000000000}"/>
  <bookViews>
    <workbookView xWindow="0" yWindow="500" windowWidth="28800" windowHeight="15800" activeTab="2" xr2:uid="{00000000-000D-0000-FFFF-FFFF00000000}"/>
  </bookViews>
  <sheets>
    <sheet name="1_Gestion_Segunda_Entrega" sheetId="1" r:id="rId1"/>
    <sheet name="2_Construccion_Aplicacion" sheetId="2" r:id="rId2"/>
    <sheet name="3_Checklist_Criterios_DoD" sheetId="3" r:id="rId3"/>
    <sheet name="4_Pruebas_Tecnicas_Tablero" sheetId="4" r:id="rId4"/>
    <sheet name="5_Registro_Defectos_Bugs" sheetId="5" r:id="rId5"/>
  </sheets>
  <definedNames>
    <definedName name="_xlnm._FilterDatabase" localSheetId="2" hidden="1">'3_Checklist_Criterios_DoD'!$A$4:$H$100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 i="2" l="1"/>
  <c r="F5" i="2"/>
  <c r="J5" i="2" s="1"/>
  <c r="D5" i="2"/>
  <c r="H5" i="1"/>
  <c r="F5" i="1"/>
  <c r="J5" i="1" s="1"/>
  <c r="D5" i="1"/>
</calcChain>
</file>

<file path=xl/sharedStrings.xml><?xml version="1.0" encoding="utf-8"?>
<sst xmlns="http://schemas.openxmlformats.org/spreadsheetml/2006/main" count="1093" uniqueCount="344">
  <si>
    <t>PANADERÍA SAN NICOLÁS · GESTIÓN SEGUNDA ENTREGA (METODOLOGÍA SCRUM)</t>
  </si>
  <si>
    <t>HISTORIAS DE USUARIO DE GESTIÓN (HU-17 A HU-26) · EVALUACIÓN Y VISTO BUENO DE QA</t>
  </si>
  <si>
    <t>Responsable de Calidad (QA): María Camila Tamayo Cuesta | Haz clic en la columna 'Estado QA' para usar el botón desplegable</t>
  </si>
  <si>
    <t>Total HU:</t>
  </si>
  <si>
    <t>Puntos Totales:</t>
  </si>
  <si>
    <t>Aprobadas:</t>
  </si>
  <si>
    <t>Rechazadas:</t>
  </si>
  <si>
    <t>% Aprobación:</t>
  </si>
  <si>
    <t>ID</t>
  </si>
  <si>
    <t>Título de la Historia</t>
  </si>
  <si>
    <t>Responsable</t>
  </si>
  <si>
    <t>Rol Scrum</t>
  </si>
  <si>
    <t>Prioridad</t>
  </si>
  <si>
    <t>Puntos</t>
  </si>
  <si>
    <t>Punto Exigido en la Guía</t>
  </si>
  <si>
    <t>Estado QA (Desplegable)</t>
  </si>
  <si>
    <t>Fecha Revisión</t>
  </si>
  <si>
    <t>Criterios de Aceptación a Verificar</t>
  </si>
  <si>
    <t>Acción en Caso de Rechazo</t>
  </si>
  <si>
    <t>HU-17</t>
  </si>
  <si>
    <t>Definir el modelo híbrido</t>
  </si>
  <si>
    <t>Juan Pablo</t>
  </si>
  <si>
    <t>Scrum Master</t>
  </si>
  <si>
    <t>Alta</t>
  </si>
  <si>
    <t>1. Análisis y aplicación del modelo híbrido</t>
  </si>
  <si>
    <t>2026-10-28</t>
  </si>
  <si>
    <t>CA1. Se presenta el radar del filtro de idoneidad.
CA2. Cada entregable tiene su enfoque y su justificación.
CA3. Se explica la forma de combinación de los enfoques.
CA4. El documento resuelto (Word, Excel o imagen) queda subido.</t>
  </si>
  <si>
    <t>EN REVISIÓN: Verificar los criterios CA1, CA2 y CA3 del modelo híbrido y confirmar que el documento resuelto esté cargado para cumplir CA4.</t>
  </si>
  <si>
    <t>HU-18</t>
  </si>
  <si>
    <t>Priorizar con MoSCoW y gestionar el flujo con Kanban</t>
  </si>
  <si>
    <t>María Camila</t>
  </si>
  <si>
    <t>QA</t>
  </si>
  <si>
    <t>Media</t>
  </si>
  <si>
    <t>PENDIENTE</t>
  </si>
  <si>
    <t>CA1. Cada historia tiene su categoría MoSCoW.
CA2. Se muestra el porcentaje de esfuerzo del Must.
CA3. El tablero Kanban tiene límites de WIP por columna.
CA4. Se reportan las métricas de flujo.</t>
  </si>
  <si>
    <t>Devolver al responsable para subsanar los criterios no cumplidos</t>
  </si>
  <si>
    <t>HU-19</t>
  </si>
  <si>
    <t>Construir el CANVAS ampliado</t>
  </si>
  <si>
    <t>2. Modelo de negocio: CANVAS ampliado, PESTEL, propuesta de valor y vía de escalamiento</t>
  </si>
  <si>
    <t>CA1. Se muestran las tres capas y el Project Model Canvas.
CA2. La propuesta de valor encaja con los dolores del cliente.
CA3. Se describe la vía de escalamiento.
CA4. El documento resuelto (Word, Excel o imagen) queda subido.</t>
  </si>
  <si>
    <t>HU-20</t>
  </si>
  <si>
    <t>Realizar el análisis PESTEL</t>
  </si>
  <si>
    <t>CA1. Se muestran las seis categorías PESTEL.
CA2. Cada factor tiene su fuente.
CA3. Los factores están priorizados.
CA4. Las amenazas prioritarias quedan conectadas con el registro de riesgos.
CA5. El documento resuelto (Word, Excel o imagen) queda subido.</t>
  </si>
  <si>
    <t>HU-21</t>
  </si>
  <si>
    <t>Evaluar opciones de financiación</t>
  </si>
  <si>
    <t>3. Evaluación de opciones de financiación</t>
  </si>
  <si>
    <t>CA1. Se muestran las cinco opciones de financiación.
CA2. Cada opción tiene sus criterios de comparación.
CA3. Se registra una recomendación justificada.
CA4. El documento resuelto (Word, Excel o imagen) queda subido.</t>
  </si>
  <si>
    <t>HU-22</t>
  </si>
  <si>
    <t>Registrar el seguimiento de la ejecución</t>
  </si>
  <si>
    <t>4. Aplicación o simulación de la ejecución</t>
  </si>
  <si>
    <t>CA1. Se muestra el cronograma planeado contra el ejecutado.
CA2. Se muestra la diferencia entre lo estimado y lo real.
CA3. Se calculan e interpretan SPI y CPI.
CA4. Cada cambio tiene fecha, descripción, impacto y decisión.
CA5. El documento resuelto (Word, Excel o imagen) queda subido.</t>
  </si>
  <si>
    <t>HU-23</t>
  </si>
  <si>
    <t>Ejecutar el plan de pruebas</t>
  </si>
  <si>
    <t>5. Resultados: aplicación, pruebas, validación, beneficio, lecciones y sostenimiento</t>
  </si>
  <si>
    <t>CA1. Cada historia tiene al menos un caso de prueba.
CA2. Se prueba la carga con un archivo distinto al de desarrollo.
CA3. Los errores encontrados quedan registrados y corregidos.
CA4. El plan y la evidencia quedan como anexo del informe.</t>
  </si>
  <si>
    <t>HU-24</t>
  </si>
  <si>
    <t>Validar la aplicación con el usuario</t>
  </si>
  <si>
    <t>CA1. Existe evidencia de la sesión de validación.
CA2. Las observaciones quedan registradas.
CA3. Se indica qué observaciones se atendieron.
CA4. Existe una aceptación formal de la aplicación.</t>
  </si>
  <si>
    <t>HU-25</t>
  </si>
  <si>
    <t>Registrar resultados y cierre</t>
  </si>
  <si>
    <t>CA1. Se muestra el beneficio con su cálculo frente a la línea base.
CA2. Se registran al menos cinco lecciones aprendidas.
CA3. El plan de sostenimiento indica responsables y frecuencia.
CA4. Existe un acta de cierre.
CA5. El documento resuelto (Word, Excel o imagen) queda subido.</t>
  </si>
  <si>
    <t>HU-26</t>
  </si>
  <si>
    <t>Preparar la sustentación y la demostración</t>
  </si>
  <si>
    <t>Juan José</t>
  </si>
  <si>
    <t>Desarrollador</t>
  </si>
  <si>
    <t>6. Exposición y demostración en vivo</t>
  </si>
  <si>
    <t>CA1. La presentación tiene máximo 8 diapositivas.
CA2. Todos los integrantes tienen una parte asignada.
CA3. El pitch dura máximo 60 segundos.
CA4. La demostración genera el tablero con un archivo nuevo.</t>
  </si>
  <si>
    <t>PANADERÍA SAN NICOLÁS · CONSTRUCCIÓN TÉCNICA DE LA APLICACIÓN WEB</t>
  </si>
  <si>
    <t>HISTORIAS DE LA APLICACIÓN (HU-01 A HU-16) · REVISA: MARÍA CAMILA (QA)</t>
  </si>
  <si>
    <t>Cada historia agrega una parte del producto de software y queda como commit en GitHub | Usa el desplegable en 'Estado QA'</t>
  </si>
  <si>
    <t>Historia de la Aplicación</t>
  </si>
  <si>
    <t>Revisa</t>
  </si>
  <si>
    <t>Tipo</t>
  </si>
  <si>
    <t>Sprint y Fecha</t>
  </si>
  <si>
    <t>Evidencia / Commit en GitHub</t>
  </si>
  <si>
    <t>HU-01</t>
  </si>
  <si>
    <t>Crear la estructura y la arquitectura de la aplicación</t>
  </si>
  <si>
    <t>Iván Santiago</t>
  </si>
  <si>
    <t>María Camila (QA)</t>
  </si>
  <si>
    <t>Técnica (base de la aplicación)</t>
  </si>
  <si>
    <t>Sprint 2 · martes 27 de octubre de 2026</t>
  </si>
  <si>
    <t>feat(HU-01): estructura de la app, navegación y base de publ</t>
  </si>
  <si>
    <t>CA1. El repositorio tiene las carpetas Frontend/, Backend/ y Docs/ con el código de esta historia.
CA2. Al abrir Frontend/index.html se ven los módulos Tablero y Cargar datos y se puede pasar de uno a otro.
CA3. Docs/Arquitectura.md y Docs/Decisiones_Tecnicas.md explican la arquitectura y por qué se eligió la tecnología.
CA4. El README describe la arquitectura real (sin Google Sheets).</t>
  </si>
  <si>
    <t>HU-02</t>
  </si>
  <si>
    <t>Diseñar la plantilla de Excel y el diccionario de datos</t>
  </si>
  <si>
    <t>feat(HU-02): plantilla de Excel y diccionario de datos</t>
  </si>
  <si>
    <t>CA1. La plantilla tiene las 9 hojas con los encabezados del diccionario.
CA2. Las tablas Dim traen los valores de los supuestos de simulación.
CA3. El botón descarga la plantilla desde la aplicación.
CA4. El diccionario documenta cada campo y las fórmulas de las fichas técnicas.</t>
  </si>
  <si>
    <t>HU-03</t>
  </si>
  <si>
    <t>Simular un mes de datos del proceso</t>
  </si>
  <si>
    <t>feat(HU-03): simulación de Montecarlo de septiembre de 2026</t>
  </si>
  <si>
    <t>CA1. El script genera el mismo archivo cada vez que se ejecuta con la misma semilla.
CA2. El libro tiene la estructura de la plantilla y la hoja Verificacion (OEE 67,70 %, SLA 92,11 %, % no vendido 2,27 %, productividad 8,03).
CA3. El archivo se declara como simulado con autorización del docente.
CA4. El botón «Descargar datos simulados» funciona.</t>
  </si>
  <si>
    <t>HU-04</t>
  </si>
  <si>
    <t>Cargar el libro de Excel</t>
  </si>
  <si>
    <t>De usuario (lo que ve la panadería)</t>
  </si>
  <si>
    <t>feat(HU-04): leer el libro de Excel en el navegador</t>
  </si>
  <si>
    <t>CA1. Al soltar un .xlsx la aplicación muestra sus hojas y número de filas.
CA2. Un archivo que no es Excel muestra un mensaje de error claro.
CA3. «Usar datos de ejemplo» carga el mes simulado.
CA4. npm test pasa (3 pruebas).</t>
  </si>
  <si>
    <t>HU-05</t>
  </si>
  <si>
    <t>Reconocer las tablas y validar los datos</t>
  </si>
  <si>
    <t>feat(HU-05): reconocer las tablas por sus columnas y validar</t>
  </si>
  <si>
    <t>CA1. Con el archivo de septiembre reconoce las 9 tablas y 0 filas con errores.
CA2. Reconoce la base del curso aunque las hojas cambien de nombre.
CA3. Una tanda con defectuosas mayores que producidas aparece rechazada con su número de fila.
CA4. npm test pasa (Tests/modelo.test.js).</t>
  </si>
  <si>
    <t>HU-06</t>
  </si>
  <si>
    <t>Ver el OEE del horno (prototipo v0)</t>
  </si>
  <si>
    <t xml:space="preserve">feat(HU-06): OEE del horno — prototipo v0 publicado en Apps </t>
  </si>
  <si>
    <t>CA1. Con septiembre: OEE 67,7 % (A 89,9 %, R 78,6 %, Q 95,8 %).
CA2. Con la base del curso: OEE 61,89 %.
CA3. Con octubre (archivo no usado para desarrollar): OEE 71,1 % y 42 turnos.
CA4. El prototipo v0 abre desde la URL /exec de Apps Script.
CA5. npm test pasa (Tests/oee.test.js).</t>
  </si>
  <si>
    <t>HU-07</t>
  </si>
  <si>
    <t>Medir el SLA de pedidos (OTIF)</t>
  </si>
  <si>
    <t>Sprint 3 · miércoles 28 de octubre de 2026</t>
  </si>
  <si>
    <t>feat(HU-07): SLA de pedidos (OTIF)</t>
  </si>
  <si>
    <t>CA1. Con septiembre: SLA 92,1 % (70 de 76 pedidos).
CA2. Un pedido entregado un minuto tarde o incompleto no cumple.
CA3. npm test pasa (Tests/sla.test.js).</t>
  </si>
  <si>
    <t>HU-08</t>
  </si>
  <si>
    <t>Medir el % de producto no vendido</t>
  </si>
  <si>
    <t>feat(HU-08): % de producto no vendido</t>
  </si>
  <si>
    <t>CA1. Con septiembre: 2,3 % (dato coherente con la simulación).
CA2. Reconoce la tabla de ventas aunque la hoja tenga otro nombre.
CA3. npm test pasa (Tests/no-vendido.test.js).</t>
  </si>
  <si>
    <t>HU-09</t>
  </si>
  <si>
    <t>Medir la productividad de mano de obra</t>
  </si>
  <si>
    <t>feat(HU-09): productividad de mano de obra</t>
  </si>
  <si>
    <t>CA1. Con septiembre: 8,03 trenzas/h-h con 652,5 horas-hombre.
CA2. npm test pasa (Tests/productividad.test.js).</t>
  </si>
  <si>
    <t>HU-10</t>
  </si>
  <si>
    <t>Ver el semáforo y ajustar las metas</t>
  </si>
  <si>
    <t>feat(HU-10): semáforos y metas de las fichas técnicas</t>
  </si>
  <si>
    <t>CA1. Con septiembre el OEE se ve verde, la disponibilidad amarilla y el % no vendido verde.
CA2. Al cambiar la meta del OEE a 70 la tarjeta pasa a amarillo y se conserva al recargar.
CA3. npm test pasa (Tests/semaforo.test.js).</t>
  </si>
  <si>
    <t>HU-11</t>
  </si>
  <si>
    <t>Filtrar por fechas, turno y equipo</t>
  </si>
  <si>
    <t>feat(HU-11): filtros por fechas, turno y equipo</t>
  </si>
  <si>
    <t>CA1. Del 7 al 11 de septiembre se ven 5 días y 10 turnos.
CA2. Con el turno T1 se ven 22 turnos y el % no vendido en N/D.
CA3. npm test pasa (Tests/filtros.test.js).</t>
  </si>
  <si>
    <t>HU-12</t>
  </si>
  <si>
    <t>Ver los gráficos del tablero</t>
  </si>
  <si>
    <t>Sprint 3 · jueves 29 de octubre de 2026</t>
  </si>
  <si>
    <t>feat(HU-12): gráficos del tablero</t>
  </si>
  <si>
    <t>CA1. Con septiembre se dibujan 6 gráficos sin errores.
CA2. El Pareto queda ordenado de mayor a menor y su acumulado llega a 100 %.
CA3. npm test pasa (Tests/graficos.test.js).</t>
  </si>
  <si>
    <t>HU-13</t>
  </si>
  <si>
    <t>Leer los hallazgos automáticos</t>
  </si>
  <si>
    <t>feat(HU-13): hallazgos automáticos</t>
  </si>
  <si>
    <t>CA1. Con septiembre se muestran 8 hallazgos coherentes con las tarjetas.
CA2. Cuando el filtro no deja registros, el panel lo dice.</t>
  </si>
  <si>
    <t>HU-14</t>
  </si>
  <si>
    <t>Exportar e imprimir el tablero</t>
  </si>
  <si>
    <t>Baja</t>
  </si>
  <si>
    <t>feat(HU-14): exportar CSV e imprimir el tablero</t>
  </si>
  <si>
    <t>CA1. El CSV abre en Excel con columnas separadas y decimales con coma.
CA2. La impresión muestra tarjetas y gráficos sin los botones.</t>
  </si>
  <si>
    <t>HU-15</t>
  </si>
  <si>
    <t>Probar la aplicación con un archivo distinto</t>
  </si>
  <si>
    <t>test(HU-15): plan de pruebas y verificación con un archivo d</t>
  </si>
  <si>
    <t>CA1. Con octubre: 42 turnos y los 7 indicadores iguales a la hoja Verificacion.
CA2. Con la base del curso: OEE 61,9 % y gráfico por equipo.
CA3. npm test: 33 pruebas aprobadas.
CA4. Los casos E1 a E11 quedan registrados con su resultado.</t>
  </si>
  <si>
    <t>HU-16</t>
  </si>
  <si>
    <t>Publicar el prototipo final</t>
  </si>
  <si>
    <t>feat(HU-16): prototipo final publicado en Apps Script y GitH</t>
  </si>
  <si>
    <t>CA1. La URL /exec abre la versión final y genera el tablero con el archivo de octubre.
CA2. El enlace de GitHub Pages abre la misma aplicación.
CA3. El manual explica cómo preparar los datos, generar y leer el tablero.</t>
  </si>
  <si>
    <t>CHECKLIST INTEGRAL DE CRITERIOS DE ACEPTACIÓN (DoD - DEFINITION OF DONE)</t>
  </si>
  <si>
    <t>Desglose exhaustivo de los criterios oficiales para validar cada entrega con datos comprobables.</t>
  </si>
  <si>
    <t>Ámbito</t>
  </si>
  <si>
    <t>ID Historia</t>
  </si>
  <si>
    <t>ID Criterio</t>
  </si>
  <si>
    <t>Criterio de Aceptación Oficial</t>
  </si>
  <si>
    <t>¿Qué debe verificar Camila con lupa?</t>
  </si>
  <si>
    <t>Severidad</t>
  </si>
  <si>
    <t>¿Cumple? (Desplegable)</t>
  </si>
  <si>
    <t>Observaciones de Camila (QA)</t>
  </si>
  <si>
    <t>Gestión</t>
  </si>
  <si>
    <t>CA1</t>
  </si>
  <si>
    <t>Se presenta el radar del filtro de idoneidad.</t>
  </si>
  <si>
    <t>Verificar el criterio en el documento o evidencia correspondiente a la historia de usuario.</t>
  </si>
  <si>
    <t>CA2</t>
  </si>
  <si>
    <t>Cada entregable tiene su enfoque y su justificación.</t>
  </si>
  <si>
    <t>CA3</t>
  </si>
  <si>
    <t>Se explica la forma de combinación de los enfoques.</t>
  </si>
  <si>
    <t>CA4</t>
  </si>
  <si>
    <t>El documento resuelto (Word, Excel o imagen) queda subido.</t>
  </si>
  <si>
    <t>Cada historia tiene su categoría MoSCoW.</t>
  </si>
  <si>
    <t>Se muestra el porcentaje de esfuerzo del Must.</t>
  </si>
  <si>
    <t>El tablero Kanban tiene límites de WIP por columna.</t>
  </si>
  <si>
    <t>Se reportan las métricas de flujo.</t>
  </si>
  <si>
    <t>Se muestran las tres capas y el Project Model Canvas.</t>
  </si>
  <si>
    <t>La propuesta de valor encaja con los dolores del cliente.</t>
  </si>
  <si>
    <t>Se describe la vía de escalamiento.</t>
  </si>
  <si>
    <t>Se muestran las seis categorías PESTEL.</t>
  </si>
  <si>
    <t>Cada factor tiene su fuente.</t>
  </si>
  <si>
    <t>Los factores están priorizados.</t>
  </si>
  <si>
    <t>Las amenazas prioritarias quedan conectadas con el registro de riesgos.</t>
  </si>
  <si>
    <t>CA5</t>
  </si>
  <si>
    <t>Se muestran las cinco opciones de financiación.</t>
  </si>
  <si>
    <t>Cada opción tiene sus criterios de comparación.</t>
  </si>
  <si>
    <t>Se registra una recomendación justificada.</t>
  </si>
  <si>
    <t>Se muestra el cronograma planeado contra el ejecutado.</t>
  </si>
  <si>
    <t>Se muestra la diferencia entre lo estimado y lo real.</t>
  </si>
  <si>
    <t>Se calculan e interpretan SPI y CPI.</t>
  </si>
  <si>
    <t>Cada cambio tiene fecha, descripción, impacto y decisión.</t>
  </si>
  <si>
    <t>Cada historia tiene al menos un caso de prueba.</t>
  </si>
  <si>
    <t>Se prueba la carga con un archivo distinto al de desarrollo.</t>
  </si>
  <si>
    <t>Los errores encontrados quedan registrados y corregidos.</t>
  </si>
  <si>
    <t>El plan y la evidencia quedan como anexo del informe.</t>
  </si>
  <si>
    <t>Existe evidencia de la sesión de validación.</t>
  </si>
  <si>
    <t>Las observaciones quedan registradas.</t>
  </si>
  <si>
    <t>Se indica qué observaciones se atendieron.</t>
  </si>
  <si>
    <t>Existe una aceptación formal de la aplicación.</t>
  </si>
  <si>
    <t>Se muestra el beneficio con su cálculo frente a la línea base.</t>
  </si>
  <si>
    <t>Se registran al menos cinco lecciones aprendidas.</t>
  </si>
  <si>
    <t>El plan de sostenimiento indica responsables y frecuencia.</t>
  </si>
  <si>
    <t>Existe un acta de cierre.</t>
  </si>
  <si>
    <t>La presentación tiene máximo 8 diapositivas.</t>
  </si>
  <si>
    <t>Todos los integrantes tienen una parte asignada.</t>
  </si>
  <si>
    <t>El pitch dura máximo 60 segundos.</t>
  </si>
  <si>
    <t>La demostración genera el tablero con un archivo nuevo.</t>
  </si>
  <si>
    <t>Aplicación</t>
  </si>
  <si>
    <t>CA1. El repositorio tiene las carpetas Frontend/, Backend/ y Docs/ con el código de esta historia.</t>
  </si>
  <si>
    <t>Verificar la funcionalidad en la aplicación, contrastar el resultado con el criterio y conservar evidencia de la prueba.</t>
  </si>
  <si>
    <t>CA2. Al abrir Frontend/index.html se ven los módulos Tablero y Cargar datos y se puede pasar de uno a otro.</t>
  </si>
  <si>
    <t>CA3. Docs/Arquitectura.md y Docs/Decisiones_Tecnicas.md explican la arquitectura y por qué se eligió la tecnología.</t>
  </si>
  <si>
    <t>CA4. El README describe la arquitectura real (sin Google Sheets).</t>
  </si>
  <si>
    <t>CA1. La plantilla tiene las 9 hojas con los encabezados del diccionario.</t>
  </si>
  <si>
    <t>CA2. Las tablas Dim traen los valores de los supuestos de simulación.</t>
  </si>
  <si>
    <t>CA3. El botón descarga la plantilla desde la aplicación.</t>
  </si>
  <si>
    <t>CA4. El diccionario documenta cada campo y las fórmulas de las fichas técnicas.</t>
  </si>
  <si>
    <t>CA1. El script genera el mismo archivo cada vez que se ejecuta con la misma semilla.</t>
  </si>
  <si>
    <t>CA2. El libro tiene la estructura de la plantilla y la hoja Verificacion (OEE 67,70 %, SLA 92,11 %, % no vendido 2,27 %, productividad 8,03).</t>
  </si>
  <si>
    <t>CA3. El archivo se declara como simulado con autorización del docente.</t>
  </si>
  <si>
    <t>CA4. El botón «Descargar datos simulados» funciona.</t>
  </si>
  <si>
    <t>CA1. Al soltar un .xlsx la aplicación muestra sus hojas y número de filas.</t>
  </si>
  <si>
    <t>CA2. Un archivo que no es Excel muestra un mensaje de error claro.</t>
  </si>
  <si>
    <t>CA3. «Usar datos de ejemplo» carga el mes simulado.</t>
  </si>
  <si>
    <t>CA4. npm test pasa (3 pruebas).</t>
  </si>
  <si>
    <t>CA1. Con el archivo de septiembre reconoce las 9 tablas y 0 filas con errores.</t>
  </si>
  <si>
    <t>CA2. Reconoce la base del curso aunque las hojas cambien de nombre.</t>
  </si>
  <si>
    <t>CA3. Una tanda con defectuosas mayores que producidas aparece rechazada con su número de fila.</t>
  </si>
  <si>
    <t>CA4. npm test pasa (Tests/modelo.test.js).</t>
  </si>
  <si>
    <t>CA1. Con septiembre: OEE 67,7 % (A 89,9 %, R 78,6 %, Q 95,8 %).</t>
  </si>
  <si>
    <t>CA2. Con la base del curso: OEE 61,89 %.</t>
  </si>
  <si>
    <t>CA3. Con octubre (archivo no usado para desarrollar): OEE 71,1 % y 42 turnos.</t>
  </si>
  <si>
    <t>CA4. El prototipo v0 abre desde la URL /exec de Apps Script.</t>
  </si>
  <si>
    <t>CA5. npm test pasa (Tests/oee.test.js).</t>
  </si>
  <si>
    <t>CA1. Con septiembre: SLA 92,1 % (70 de 76 pedidos).</t>
  </si>
  <si>
    <t>CA2. Un pedido entregado un minuto tarde o incompleto no cumple.</t>
  </si>
  <si>
    <t>CA3. npm test pasa (Tests/sla.test.js).</t>
  </si>
  <si>
    <t>CA1. Con septiembre: 2,3 % (dato coherente con la simulación).</t>
  </si>
  <si>
    <t>CA2. Reconoce la tabla de ventas aunque la hoja tenga otro nombre.</t>
  </si>
  <si>
    <t>CA3. npm test pasa (Tests/no-vendido.test.js).</t>
  </si>
  <si>
    <t>CA1. Con septiembre: 8,03 trenzas/h-h con 652,5 horas-hombre.</t>
  </si>
  <si>
    <t>CA2. npm test pasa (Tests/productividad.test.js).</t>
  </si>
  <si>
    <t>CA1. Con septiembre el OEE se ve verde, la disponibilidad amarilla y el % no vendido verde.</t>
  </si>
  <si>
    <t>CA2. Al cambiar la meta del OEE a 70 la tarjeta pasa a amarillo y se conserva al recargar.</t>
  </si>
  <si>
    <t>CA3. npm test pasa (Tests/semaforo.test.js).</t>
  </si>
  <si>
    <t>CA1. Del 7 al 11 de septiembre se ven 5 días y 10 turnos.</t>
  </si>
  <si>
    <t>CA2. Con el turno T1 se ven 22 turnos y el % no vendido en N/D.</t>
  </si>
  <si>
    <t>CA3. npm test pasa (Tests/filtros.test.js).</t>
  </si>
  <si>
    <t>CA1. Con septiembre se dibujan 6 gráficos sin errores.</t>
  </si>
  <si>
    <t>CA2. El Pareto queda ordenado de mayor a menor y su acumulado llega a 100 %.</t>
  </si>
  <si>
    <t>CA3. npm test pasa (Tests/graficos.test.js).</t>
  </si>
  <si>
    <t>CA1. Con septiembre se muestran 8 hallazgos coherentes con las tarjetas.</t>
  </si>
  <si>
    <t>CA2. Cuando el filtro no deja registros, el panel lo dice.</t>
  </si>
  <si>
    <t>CA1. El CSV abre en Excel con columnas separadas y decimales con coma.</t>
  </si>
  <si>
    <t>CA2. La impresión muestra tarjetas y gráficos sin los botones.</t>
  </si>
  <si>
    <t>CA1. Con octubre: 42 turnos y los 7 indicadores iguales a la hoja Verificacion.</t>
  </si>
  <si>
    <t>CA2. Con la base del curso: OEE 61,9 % y gráfico por equipo.</t>
  </si>
  <si>
    <t>CA3. npm test: 33 pruebas aprobadas.</t>
  </si>
  <si>
    <t>CA4. Los casos E1 a E11 quedan registrados con su resultado.</t>
  </si>
  <si>
    <t>CA1. La URL /exec abre la versión final y genera el tablero con el archivo de octubre.</t>
  </si>
  <si>
    <t>CA2. El enlace de GitHub Pages abre la misma aplicación.</t>
  </si>
  <si>
    <t>CA3. El manual explica cómo preparar los datos, generar y leer el tablero.</t>
  </si>
  <si>
    <t>PLAN DE PRUEBAS FUNCIONALES Y VERIFICACIÓN MATEMÁTICA DE INDICADORES</t>
  </si>
  <si>
    <t>Pruebas de caja negra para certificar la aplicación web y asegurar una demostración sin fallos (HU-23 y HU-15).</t>
  </si>
  <si>
    <t>ID Caso</t>
  </si>
  <si>
    <t>Módulo / Funcionalidad</t>
  </si>
  <si>
    <t>Precondición</t>
  </si>
  <si>
    <t>Pasos de Ejecución</t>
  </si>
  <si>
    <t>Datos de Entrada / Archivo</t>
  </si>
  <si>
    <t>Resultado Esperado</t>
  </si>
  <si>
    <t>Resultado Obtenido</t>
  </si>
  <si>
    <t>Estado (Desplegable)</t>
  </si>
  <si>
    <t>CP-01</t>
  </si>
  <si>
    <t>Carga de Archivo Excel</t>
  </si>
  <si>
    <t>Aplicación abierta en el navegador</t>
  </si>
  <si>
    <t>1. Clic en 'Seleccionar archivo'
2. Escoger 'Base_Panaderia_Indicadores.xlsx'
3. Clic en Procesar</t>
  </si>
  <si>
    <t>Base_Panaderia_Indicadores.xlsx</t>
  </si>
  <si>
    <t>El sistema lee el archivo en memoria sin errores y notifica 'Archivo cargado con éxito'</t>
  </si>
  <si>
    <t>CP-02</t>
  </si>
  <si>
    <t>Validación de Estructura de Tablas</t>
  </si>
  <si>
    <t>Archivo cargado</t>
  </si>
  <si>
    <t>1. El sistema inspecciona nombres de columnas de Producción, Paradas, Ventas y Despachos</t>
  </si>
  <si>
    <t>Columnas del libro de Excel</t>
  </si>
  <si>
    <t>Reconoce automáticamente las tablas y valida que los tipos de datos sean correctos</t>
  </si>
  <si>
    <t>CP-03</t>
  </si>
  <si>
    <t>Cálculo del Indicador OEE del Horno</t>
  </si>
  <si>
    <t>Datos de producción y paradas cargados</t>
  </si>
  <si>
    <t>1. Ir a tarjeta OEE
2. Comparar Disponibilidad × Rendimiento × Calidad con cálculo manual</t>
  </si>
  <si>
    <t>Tiempo operativo, paradas, unidades programadas y unidades conformes</t>
  </si>
  <si>
    <t>El valor del OEE coincide exactamente con el cálculo manual (A x R x Q)</t>
  </si>
  <si>
    <t>CP-04</t>
  </si>
  <si>
    <t>Cálculo del Indicador SLA (Nivel de Servicio)</t>
  </si>
  <si>
    <t>Datos de despachos cargados</t>
  </si>
  <si>
    <t>1. Ir a tarjeta SLA
2. Verificar fórmula: Pedidos a tiempo y completos / Total pedidos</t>
  </si>
  <si>
    <t>Despachos totales vs despachos a tiempo y conformes</t>
  </si>
  <si>
    <t>El porcentaje de SLA refleja exactamente la proporción matemática sin desfases</t>
  </si>
  <si>
    <t>CP-05</t>
  </si>
  <si>
    <t>Cálculo del % No Vendido</t>
  </si>
  <si>
    <t>Datos de producción y ventas cargados</t>
  </si>
  <si>
    <t>1. Ir a tarjeta % No Vendido
2. Aplicar: (Unidades buenas - Unidades vendidas) / Unidades buenas</t>
  </si>
  <si>
    <t>Unidades buenas producidas vs vendidas</t>
  </si>
  <si>
    <t>El indicador muestra el porcentaje exacto de merma/pan sobrante</t>
  </si>
  <si>
    <t>CP-06</t>
  </si>
  <si>
    <t>Cálculo de Productividad</t>
  </si>
  <si>
    <t>Datos de personal y producción cargados</t>
  </si>
  <si>
    <t>1. Ir a tarjeta Productividad
2. Aplicar: Unidades buenas / Horas-hombre empleadas</t>
  </si>
  <si>
    <t>Unidades conformes y horas trabajadas por operarios</t>
  </si>
  <si>
    <t>Muestra unidades de pan trenza producidas por hora-hombre con unidades claras</t>
  </si>
  <si>
    <t>CP-07</t>
  </si>
  <si>
    <t>Filtros Interactivos del Dashboard</t>
  </si>
  <si>
    <t>Tablero visualizado con datos</t>
  </si>
  <si>
    <t>1. Cambiar selector de Turno (Turno 1 / Turno 2)
2. Cambiar rango de fechas
3. Observar recálculo de tarjetas</t>
  </si>
  <si>
    <t>Filtro: Turno 1 (06:00-14:00)</t>
  </si>
  <si>
    <t>Todos los gráficos e indicadores se recalculan dinámicamente según el filtro seleccionado</t>
  </si>
  <si>
    <t>CP-08</t>
  </si>
  <si>
    <t>Prueba con Archivo Distinto (HU-15)</t>
  </si>
  <si>
    <t>Aplicación abierta</t>
  </si>
  <si>
    <t>1. Cargar archivo simulado alternativo con fechas y volúmenes diferentes al de desarrollo</t>
  </si>
  <si>
    <t>Archivo de prueba alternativo (sustentación)</t>
  </si>
  <si>
    <t>La aplicación procesa los nuevos datos limpiamente sin quedarse congelada</t>
  </si>
  <si>
    <t>REGISTRO FORMAL DE NO CONFORMIDADES, DEFECTOS Y OBSERVACIONES DE QA</t>
  </si>
  <si>
    <t>Bitácora para que Camila asigne errores y rechazos a Juan Pablo, Juan José e Iván antes de dar el visto bueno.</t>
  </si>
  <si>
    <t>ID Defecto</t>
  </si>
  <si>
    <t>Historia Asociada</t>
  </si>
  <si>
    <t>Descripción del Hallazgo / Defecto</t>
  </si>
  <si>
    <t>Tipo de Error</t>
  </si>
  <si>
    <t>Severidad (Desplegable)</t>
  </si>
  <si>
    <t>Asignado a</t>
  </si>
  <si>
    <t>Fecha Detección</t>
  </si>
  <si>
    <t>Fecha Resolución</t>
  </si>
  <si>
    <t>Validación Final de Camila</t>
  </si>
  <si>
    <t>BUG-01</t>
  </si>
  <si>
    <t>El bloque de 'Canales' en la hoja CANVAS no especifica distribución directa a tiendas</t>
  </si>
  <si>
    <t>Contenido</t>
  </si>
  <si>
    <t>ABIERTO</t>
  </si>
  <si>
    <t>Pendiente de completar por Juan Pablo</t>
  </si>
  <si>
    <t>BUG-02</t>
  </si>
  <si>
    <t>Faltan enlaces a los commits del repositorio de GitHub en la tabla de control de cambios</t>
  </si>
  <si>
    <t>Trazabilidad</t>
  </si>
  <si>
    <t>Revisar tras añadir enlaces</t>
  </si>
  <si>
    <t>BUG-03</t>
  </si>
  <si>
    <t>En la fórmula de OEE en JavaScript, verificar si la velocidad nominal del horno está en unid/min o unid/h</t>
  </si>
  <si>
    <t>Cálculo</t>
  </si>
  <si>
    <t>EN CORRECCIÓN</t>
  </si>
  <si>
    <t>Verificar coherencia de unidades</t>
  </si>
  <si>
    <t>BUG-04</t>
  </si>
  <si>
    <t>En opciones de financiación falta detallar el impacto de la tasa de interés en el flujo de caja</t>
  </si>
  <si>
    <t>Análisis</t>
  </si>
  <si>
    <t>Añadir nota explicativa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</si>
</sst>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numFmts>
  <fonts count="9" x14ac:knownFonts="1">
    <font>
      <sz val="11"/>
      <color theme="1"/>
      <name val="Calibri"/>
      <family val="2"/>
      <scheme val="minor"/>
    </font>
    <font>
      <b/>
      <sz val="15"/>
      <color rgb="FF1F4E79"/>
      <name val="Calibri"/>
      <family val="2"/>
    </font>
    <font>
      <b/>
      <sz val="12"/>
      <color rgb="FF2E75B6"/>
      <name val="Calibri"/>
      <family val="2"/>
    </font>
    <font>
      <i/>
      <sz val="11"/>
      <color rgb="FF595959"/>
      <name val="Calibri"/>
      <family val="2"/>
    </font>
    <font>
      <b/>
      <sz val="10"/>
      <name val="Calibri"/>
      <family val="2"/>
    </font>
    <font>
      <b/>
      <sz val="11"/>
      <color rgb="FF1F4E79"/>
      <name val="Calibri"/>
      <family val="2"/>
    </font>
    <font>
      <b/>
      <sz val="11"/>
      <color rgb="FFFFFFFF"/>
      <name val="Calibri"/>
      <family val="2"/>
    </font>
    <font>
      <b/>
      <sz val="9"/>
      <color rgb="FF1F4E79"/>
      <name val="Consolas"/>
      <family val="2"/>
    </font>
    <font>
      <sz val="10"/>
      <name val="Calibri"/>
      <family val="2"/>
    </font>
  </fonts>
  <fills count="6">
    <fill>
      <patternFill patternType="none"/>
    </fill>
    <fill>
      <patternFill patternType="gray125"/>
    </fill>
    <fill>
      <patternFill patternType="solid">
        <fgColor rgb="FFD9E1F2"/>
        <bgColor rgb="FFD9E1F2"/>
      </patternFill>
    </fill>
    <fill>
      <patternFill patternType="solid">
        <fgColor rgb="FF1F4E79"/>
        <bgColor rgb="FF1F4E79"/>
      </patternFill>
    </fill>
    <fill>
      <patternFill patternType="solid">
        <fgColor rgb="FFFFFFFF"/>
        <bgColor rgb="FFFFFFFF"/>
      </patternFill>
    </fill>
    <fill>
      <patternFill patternType="solid">
        <fgColor rgb="FFF9FBFD"/>
        <bgColor rgb="FFF9FBFD"/>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21">
    <xf numFmtId="0" fontId="0" fillId="0" borderId="0" xfId="0"/>
    <xf numFmtId="0" fontId="4" fillId="2" borderId="1" xfId="0" applyFont="1" applyFill="1" applyBorder="1" applyAlignment="1">
      <alignment horizontal="center" vertical="center" wrapText="1"/>
    </xf>
    <xf numFmtId="0" fontId="5" fillId="0" borderId="1" xfId="0" applyFont="1" applyBorder="1" applyAlignment="1">
      <alignment horizontal="center" vertical="center" wrapText="1"/>
    </xf>
    <xf numFmtId="164" fontId="5" fillId="0" borderId="1" xfId="0" applyNumberFormat="1" applyFont="1" applyBorder="1" applyAlignment="1">
      <alignment horizontal="center" vertical="center" wrapText="1"/>
    </xf>
    <xf numFmtId="0" fontId="6" fillId="3"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0" fontId="8" fillId="4" borderId="1" xfId="0" applyFont="1" applyFill="1" applyBorder="1" applyAlignment="1">
      <alignment horizontal="left" vertical="center" wrapText="1"/>
    </xf>
    <xf numFmtId="0" fontId="8"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8" fillId="5" borderId="1" xfId="0" applyFont="1" applyFill="1" applyBorder="1" applyAlignment="1">
      <alignment horizontal="left" vertical="center" wrapText="1"/>
    </xf>
    <xf numFmtId="0" fontId="8" fillId="5" borderId="1" xfId="0" applyFont="1" applyFill="1" applyBorder="1" applyAlignment="1">
      <alignment horizontal="center" vertical="center" wrapText="1"/>
    </xf>
    <xf numFmtId="9" fontId="5" fillId="0" borderId="1" xfId="0" applyNumberFormat="1" applyFont="1" applyBorder="1" applyAlignment="1">
      <alignment horizontal="center" vertical="center" wrapText="1"/>
    </xf>
    <xf numFmtId="165" fontId="8" fillId="4" borderId="1" xfId="0" applyNumberFormat="1" applyFont="1" applyFill="1" applyBorder="1" applyAlignment="1">
      <alignment horizontal="center" vertical="center" wrapText="1"/>
    </xf>
    <xf numFmtId="0" fontId="8" fillId="4" borderId="1" xfId="0" applyFont="1" applyFill="1" applyBorder="1" applyAlignment="1">
      <alignment vertical="top" wrapText="1"/>
    </xf>
    <xf numFmtId="165" fontId="8" fillId="5" borderId="1" xfId="0" applyNumberFormat="1" applyFont="1" applyFill="1" applyBorder="1" applyAlignment="1">
      <alignment horizontal="center" vertical="center" wrapText="1"/>
    </xf>
    <xf numFmtId="0" fontId="8" fillId="5" borderId="1" xfId="0" applyFont="1" applyFill="1" applyBorder="1" applyAlignment="1">
      <alignment vertical="top" wrapText="1"/>
    </xf>
    <xf numFmtId="0" fontId="7" fillId="5" borderId="1" xfId="0" applyFont="1" applyFill="1" applyBorder="1" applyAlignment="1">
      <alignment vertical="top" wrapText="1"/>
    </xf>
    <xf numFmtId="0" fontId="2" fillId="0" borderId="0" xfId="0" applyFont="1"/>
    <xf numFmtId="0" fontId="0" fillId="0" borderId="0" xfId="0"/>
    <xf numFmtId="0" fontId="1" fillId="0" borderId="0" xfId="0" applyFont="1"/>
    <xf numFmtId="0" fontId="3" fillId="0" borderId="0" xfId="0" applyFont="1"/>
  </cellXfs>
  <cellStyles count="1">
    <cellStyle name="Normal" xfId="0" builtinId="0"/>
  </cellStyles>
  <dxfs count="16">
    <dxf>
      <font>
        <sz val="10"/>
        <color rgb="FF595959"/>
        <name val="Calibri"/>
      </font>
      <fill>
        <patternFill patternType="solid">
          <fgColor rgb="FFEDEDED"/>
          <bgColor rgb="FFEDEDED"/>
        </patternFill>
      </fill>
    </dxf>
    <dxf>
      <font>
        <b/>
        <sz val="10"/>
        <color rgb="FF9C6500"/>
        <name val="Calibri"/>
      </font>
      <fill>
        <patternFill patternType="solid">
          <fgColor rgb="FFFFEB9C"/>
          <bgColor rgb="FFFFEB9C"/>
        </patternFill>
      </fill>
    </dxf>
    <dxf>
      <font>
        <b/>
        <sz val="10"/>
        <color rgb="FF9C0006"/>
        <name val="Calibri"/>
      </font>
      <fill>
        <patternFill patternType="solid">
          <fgColor rgb="FFFFC7CE"/>
          <bgColor rgb="FFFFC7CE"/>
        </patternFill>
      </fill>
    </dxf>
    <dxf>
      <font>
        <b/>
        <sz val="10"/>
        <color rgb="FF006100"/>
        <name val="Calibri"/>
      </font>
      <fill>
        <patternFill patternType="solid">
          <fgColor rgb="FFC6EFCE"/>
          <bgColor rgb="FFC6EFCE"/>
        </patternFill>
      </fill>
    </dxf>
    <dxf>
      <font>
        <sz val="10"/>
        <color rgb="FF595959"/>
        <name val="Calibri"/>
      </font>
      <fill>
        <patternFill patternType="solid">
          <fgColor rgb="FFEDEDED"/>
          <bgColor rgb="FFEDEDED"/>
        </patternFill>
      </fill>
    </dxf>
    <dxf>
      <font>
        <b/>
        <sz val="10"/>
        <color rgb="FF9C6500"/>
        <name val="Calibri"/>
      </font>
      <fill>
        <patternFill patternType="solid">
          <fgColor rgb="FFFFEB9C"/>
          <bgColor rgb="FFFFEB9C"/>
        </patternFill>
      </fill>
    </dxf>
    <dxf>
      <font>
        <b/>
        <sz val="10"/>
        <color rgb="FF9C0006"/>
        <name val="Calibri"/>
      </font>
      <fill>
        <patternFill patternType="solid">
          <fgColor rgb="FFFFC7CE"/>
          <bgColor rgb="FFFFC7CE"/>
        </patternFill>
      </fill>
    </dxf>
    <dxf>
      <font>
        <b/>
        <sz val="10"/>
        <color rgb="FF006100"/>
        <name val="Calibri"/>
      </font>
      <fill>
        <patternFill patternType="solid">
          <fgColor rgb="FFC6EFCE"/>
          <bgColor rgb="FFC6EFCE"/>
        </patternFill>
      </fill>
    </dxf>
    <dxf>
      <font>
        <sz val="10"/>
        <color rgb="FF595959"/>
        <name val="Calibri"/>
      </font>
      <fill>
        <patternFill patternType="solid">
          <fgColor rgb="FFEDEDED"/>
          <bgColor rgb="FFEDEDED"/>
        </patternFill>
      </fill>
    </dxf>
    <dxf>
      <font>
        <b/>
        <sz val="10"/>
        <color rgb="FF9C6500"/>
        <name val="Calibri"/>
      </font>
      <fill>
        <patternFill patternType="solid">
          <fgColor rgb="FFFFEB9C"/>
          <bgColor rgb="FFFFEB9C"/>
        </patternFill>
      </fill>
    </dxf>
    <dxf>
      <font>
        <b/>
        <sz val="10"/>
        <color rgb="FF9C0006"/>
        <name val="Calibri"/>
      </font>
      <fill>
        <patternFill patternType="solid">
          <fgColor rgb="FFFFC7CE"/>
          <bgColor rgb="FFFFC7CE"/>
        </patternFill>
      </fill>
    </dxf>
    <dxf>
      <font>
        <b/>
        <sz val="10"/>
        <color rgb="FF006100"/>
        <name val="Calibri"/>
      </font>
      <fill>
        <patternFill patternType="solid">
          <fgColor rgb="FFC6EFCE"/>
          <bgColor rgb="FFC6EFCE"/>
        </patternFill>
      </fill>
    </dxf>
    <dxf>
      <font>
        <sz val="10"/>
        <color rgb="FF595959"/>
        <name val="Calibri"/>
      </font>
      <fill>
        <patternFill patternType="solid">
          <fgColor rgb="FFEDEDED"/>
          <bgColor rgb="FFEDEDED"/>
        </patternFill>
      </fill>
    </dxf>
    <dxf>
      <font>
        <b/>
        <sz val="10"/>
        <color rgb="FF9C6500"/>
        <name val="Calibri"/>
      </font>
      <fill>
        <patternFill patternType="solid">
          <fgColor rgb="FFFFEB9C"/>
          <bgColor rgb="FFFFEB9C"/>
        </patternFill>
      </fill>
    </dxf>
    <dxf>
      <font>
        <b/>
        <sz val="10"/>
        <color rgb="FF9C0006"/>
        <name val="Calibri"/>
      </font>
      <fill>
        <patternFill patternType="solid">
          <fgColor rgb="FFFFC7CE"/>
          <bgColor rgb="FFFFC7CE"/>
        </patternFill>
      </fill>
    </dxf>
    <dxf>
      <font>
        <b/>
        <sz val="10"/>
        <color rgb="FF006100"/>
        <name val="Calibri"/>
      </fon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7"/>
  <sheetViews>
    <sheetView topLeftCell="A2" workbookViewId="0">
      <selection activeCell="I8" sqref="I8"/>
    </sheetView>
  </sheetViews>
  <sheetFormatPr baseColWidth="10" defaultColWidth="8.83203125" defaultRowHeight="15" x14ac:dyDescent="0.2"/>
  <cols>
    <col min="1" max="1" width="10" customWidth="1"/>
    <col min="2" max="2" width="36" customWidth="1"/>
    <col min="3" max="4" width="16" customWidth="1"/>
    <col min="5" max="5" width="12" customWidth="1"/>
    <col min="6" max="6" width="10" customWidth="1"/>
    <col min="7" max="7" width="32" customWidth="1"/>
    <col min="8" max="8" width="22" customWidth="1"/>
    <col min="9" max="9" width="15" customWidth="1"/>
    <col min="10" max="10" width="50" customWidth="1"/>
    <col min="11" max="11" width="35" customWidth="1"/>
  </cols>
  <sheetData>
    <row r="1" spans="1:11" ht="25" customHeight="1" x14ac:dyDescent="0.25">
      <c r="A1" s="19" t="s">
        <v>0</v>
      </c>
      <c r="B1" s="18"/>
      <c r="C1" s="18"/>
      <c r="D1" s="18"/>
      <c r="E1" s="18"/>
      <c r="F1" s="18"/>
      <c r="G1" s="18"/>
      <c r="H1" s="18"/>
      <c r="I1" s="18"/>
      <c r="J1" s="18"/>
      <c r="K1" s="18"/>
    </row>
    <row r="2" spans="1:11" ht="20" customHeight="1" x14ac:dyDescent="0.2">
      <c r="A2" s="17" t="s">
        <v>1</v>
      </c>
      <c r="B2" s="18"/>
      <c r="C2" s="18"/>
      <c r="D2" s="18"/>
      <c r="E2" s="18"/>
      <c r="F2" s="18"/>
      <c r="G2" s="18"/>
      <c r="H2" s="18"/>
      <c r="I2" s="18"/>
      <c r="J2" s="18"/>
      <c r="K2" s="18"/>
    </row>
    <row r="3" spans="1:11" ht="18" customHeight="1" x14ac:dyDescent="0.2">
      <c r="A3" s="20" t="s">
        <v>2</v>
      </c>
      <c r="B3" s="18"/>
      <c r="C3" s="18"/>
      <c r="D3" s="18"/>
      <c r="E3" s="18"/>
      <c r="F3" s="18"/>
      <c r="G3" s="18"/>
      <c r="H3" s="18"/>
      <c r="I3" s="18"/>
      <c r="J3" s="18"/>
      <c r="K3" s="18"/>
    </row>
    <row r="5" spans="1:11" x14ac:dyDescent="0.2">
      <c r="A5" s="1" t="s">
        <v>3</v>
      </c>
      <c r="B5" s="2">
        <v>10</v>
      </c>
      <c r="C5" s="1" t="s">
        <v>4</v>
      </c>
      <c r="D5" s="2">
        <f>SUM(F8:F17)</f>
        <v>46</v>
      </c>
      <c r="E5" s="1" t="s">
        <v>5</v>
      </c>
      <c r="F5" s="2">
        <f>COUNTIF(H8:H17, "APROBADO")</f>
        <v>0</v>
      </c>
      <c r="G5" s="1" t="s">
        <v>6</v>
      </c>
      <c r="H5" s="2">
        <f>COUNTIF(H8:H17, "RECHAZADO")</f>
        <v>0</v>
      </c>
      <c r="I5" s="1" t="s">
        <v>7</v>
      </c>
      <c r="J5" s="11">
        <f>IF(B5=0,0,F5/B5)</f>
        <v>0</v>
      </c>
    </row>
    <row r="7" spans="1:11" ht="28" customHeight="1" x14ac:dyDescent="0.2">
      <c r="A7" s="4" t="s">
        <v>8</v>
      </c>
      <c r="B7" s="4" t="s">
        <v>9</v>
      </c>
      <c r="C7" s="4" t="s">
        <v>10</v>
      </c>
      <c r="D7" s="4" t="s">
        <v>11</v>
      </c>
      <c r="E7" s="4" t="s">
        <v>12</v>
      </c>
      <c r="F7" s="4" t="s">
        <v>13</v>
      </c>
      <c r="G7" s="4" t="s">
        <v>14</v>
      </c>
      <c r="H7" s="4" t="s">
        <v>15</v>
      </c>
      <c r="I7" s="4" t="s">
        <v>16</v>
      </c>
      <c r="J7" s="4" t="s">
        <v>17</v>
      </c>
      <c r="K7" s="4" t="s">
        <v>18</v>
      </c>
    </row>
    <row r="8" spans="1:11" ht="36" customHeight="1" x14ac:dyDescent="0.2">
      <c r="A8" s="5" t="s">
        <v>19</v>
      </c>
      <c r="B8" s="6" t="s">
        <v>20</v>
      </c>
      <c r="C8" s="7" t="s">
        <v>21</v>
      </c>
      <c r="D8" s="7" t="s">
        <v>22</v>
      </c>
      <c r="E8" s="7" t="s">
        <v>23</v>
      </c>
      <c r="F8" s="7">
        <v>5</v>
      </c>
      <c r="G8" s="6" t="s">
        <v>24</v>
      </c>
      <c r="H8" s="7" t="s">
        <v>33</v>
      </c>
      <c r="I8" s="12"/>
      <c r="J8" s="13" t="s">
        <v>26</v>
      </c>
      <c r="K8" s="13" t="s">
        <v>27</v>
      </c>
    </row>
    <row r="9" spans="1:11" ht="36" customHeight="1" x14ac:dyDescent="0.2">
      <c r="A9" s="8" t="s">
        <v>28</v>
      </c>
      <c r="B9" s="9" t="s">
        <v>29</v>
      </c>
      <c r="C9" s="10" t="s">
        <v>30</v>
      </c>
      <c r="D9" s="10" t="s">
        <v>31</v>
      </c>
      <c r="E9" s="10" t="s">
        <v>32</v>
      </c>
      <c r="F9" s="10">
        <v>3</v>
      </c>
      <c r="G9" s="9" t="s">
        <v>24</v>
      </c>
      <c r="H9" s="10" t="s">
        <v>33</v>
      </c>
      <c r="I9" s="14"/>
      <c r="J9" s="15" t="s">
        <v>34</v>
      </c>
      <c r="K9" s="15" t="s">
        <v>35</v>
      </c>
    </row>
    <row r="10" spans="1:11" ht="36" customHeight="1" x14ac:dyDescent="0.2">
      <c r="A10" s="5" t="s">
        <v>36</v>
      </c>
      <c r="B10" s="6" t="s">
        <v>37</v>
      </c>
      <c r="C10" s="7" t="s">
        <v>21</v>
      </c>
      <c r="D10" s="7" t="s">
        <v>22</v>
      </c>
      <c r="E10" s="7" t="s">
        <v>23</v>
      </c>
      <c r="F10" s="7">
        <v>8</v>
      </c>
      <c r="G10" s="6" t="s">
        <v>38</v>
      </c>
      <c r="H10" s="7" t="s">
        <v>33</v>
      </c>
      <c r="I10" s="12"/>
      <c r="J10" s="13" t="s">
        <v>39</v>
      </c>
      <c r="K10" s="13" t="s">
        <v>35</v>
      </c>
    </row>
    <row r="11" spans="1:11" ht="36" customHeight="1" x14ac:dyDescent="0.2">
      <c r="A11" s="8" t="s">
        <v>40</v>
      </c>
      <c r="B11" s="9" t="s">
        <v>41</v>
      </c>
      <c r="C11" s="10" t="s">
        <v>30</v>
      </c>
      <c r="D11" s="10" t="s">
        <v>31</v>
      </c>
      <c r="E11" s="10" t="s">
        <v>32</v>
      </c>
      <c r="F11" s="10">
        <v>3</v>
      </c>
      <c r="G11" s="9" t="s">
        <v>38</v>
      </c>
      <c r="H11" s="10" t="s">
        <v>33</v>
      </c>
      <c r="I11" s="14"/>
      <c r="J11" s="15" t="s">
        <v>42</v>
      </c>
      <c r="K11" s="15" t="s">
        <v>35</v>
      </c>
    </row>
    <row r="12" spans="1:11" ht="36" customHeight="1" x14ac:dyDescent="0.2">
      <c r="A12" s="5" t="s">
        <v>43</v>
      </c>
      <c r="B12" s="6" t="s">
        <v>44</v>
      </c>
      <c r="C12" s="7" t="s">
        <v>30</v>
      </c>
      <c r="D12" s="7" t="s">
        <v>31</v>
      </c>
      <c r="E12" s="7" t="s">
        <v>32</v>
      </c>
      <c r="F12" s="7">
        <v>5</v>
      </c>
      <c r="G12" s="6" t="s">
        <v>45</v>
      </c>
      <c r="H12" s="7" t="s">
        <v>33</v>
      </c>
      <c r="I12" s="12"/>
      <c r="J12" s="13" t="s">
        <v>46</v>
      </c>
      <c r="K12" s="13" t="s">
        <v>35</v>
      </c>
    </row>
    <row r="13" spans="1:11" ht="36" customHeight="1" x14ac:dyDescent="0.2">
      <c r="A13" s="8" t="s">
        <v>47</v>
      </c>
      <c r="B13" s="9" t="s">
        <v>48</v>
      </c>
      <c r="C13" s="10" t="s">
        <v>21</v>
      </c>
      <c r="D13" s="10" t="s">
        <v>22</v>
      </c>
      <c r="E13" s="10" t="s">
        <v>23</v>
      </c>
      <c r="F13" s="10">
        <v>8</v>
      </c>
      <c r="G13" s="9" t="s">
        <v>49</v>
      </c>
      <c r="H13" s="10" t="s">
        <v>33</v>
      </c>
      <c r="I13" s="14"/>
      <c r="J13" s="15" t="s">
        <v>50</v>
      </c>
      <c r="K13" s="15" t="s">
        <v>35</v>
      </c>
    </row>
    <row r="14" spans="1:11" ht="36" customHeight="1" x14ac:dyDescent="0.2">
      <c r="A14" s="5" t="s">
        <v>51</v>
      </c>
      <c r="B14" s="6" t="s">
        <v>52</v>
      </c>
      <c r="C14" s="7" t="s">
        <v>30</v>
      </c>
      <c r="D14" s="7" t="s">
        <v>31</v>
      </c>
      <c r="E14" s="7" t="s">
        <v>23</v>
      </c>
      <c r="F14" s="7">
        <v>5</v>
      </c>
      <c r="G14" s="6" t="s">
        <v>53</v>
      </c>
      <c r="H14" s="7" t="s">
        <v>33</v>
      </c>
      <c r="I14" s="12"/>
      <c r="J14" s="13" t="s">
        <v>54</v>
      </c>
      <c r="K14" s="13" t="s">
        <v>35</v>
      </c>
    </row>
    <row r="15" spans="1:11" ht="36" customHeight="1" x14ac:dyDescent="0.2">
      <c r="A15" s="8" t="s">
        <v>55</v>
      </c>
      <c r="B15" s="9" t="s">
        <v>56</v>
      </c>
      <c r="C15" s="10" t="s">
        <v>30</v>
      </c>
      <c r="D15" s="10" t="s">
        <v>31</v>
      </c>
      <c r="E15" s="10" t="s">
        <v>23</v>
      </c>
      <c r="F15" s="10">
        <v>3</v>
      </c>
      <c r="G15" s="9" t="s">
        <v>53</v>
      </c>
      <c r="H15" s="10" t="s">
        <v>33</v>
      </c>
      <c r="I15" s="14"/>
      <c r="J15" s="15" t="s">
        <v>57</v>
      </c>
      <c r="K15" s="15" t="s">
        <v>35</v>
      </c>
    </row>
    <row r="16" spans="1:11" ht="36" customHeight="1" x14ac:dyDescent="0.2">
      <c r="A16" s="5" t="s">
        <v>58</v>
      </c>
      <c r="B16" s="6" t="s">
        <v>59</v>
      </c>
      <c r="C16" s="7" t="s">
        <v>30</v>
      </c>
      <c r="D16" s="7" t="s">
        <v>31</v>
      </c>
      <c r="E16" s="7" t="s">
        <v>32</v>
      </c>
      <c r="F16" s="7">
        <v>3</v>
      </c>
      <c r="G16" s="6" t="s">
        <v>53</v>
      </c>
      <c r="H16" s="7" t="s">
        <v>33</v>
      </c>
      <c r="I16" s="12"/>
      <c r="J16" s="13" t="s">
        <v>60</v>
      </c>
      <c r="K16" s="13" t="s">
        <v>35</v>
      </c>
    </row>
    <row r="17" spans="1:11" ht="36" customHeight="1" x14ac:dyDescent="0.2">
      <c r="A17" s="8" t="s">
        <v>61</v>
      </c>
      <c r="B17" s="9" t="s">
        <v>62</v>
      </c>
      <c r="C17" s="10" t="s">
        <v>63</v>
      </c>
      <c r="D17" s="10" t="s">
        <v>64</v>
      </c>
      <c r="E17" s="10" t="s">
        <v>23</v>
      </c>
      <c r="F17" s="10">
        <v>3</v>
      </c>
      <c r="G17" s="9" t="s">
        <v>65</v>
      </c>
      <c r="H17" s="10" t="s">
        <v>33</v>
      </c>
      <c r="I17" s="14"/>
      <c r="J17" s="15" t="s">
        <v>66</v>
      </c>
      <c r="K17" s="15" t="s">
        <v>35</v>
      </c>
    </row>
  </sheetData>
  <mergeCells count="3">
    <mergeCell ref="A2:K2"/>
    <mergeCell ref="A1:K1"/>
    <mergeCell ref="A3:K3"/>
  </mergeCells>
  <conditionalFormatting sqref="H8:H17">
    <cfRule type="cellIs" dxfId="15" priority="1" stopIfTrue="1" operator="equal">
      <formula>"APROBADO"</formula>
    </cfRule>
    <cfRule type="cellIs" dxfId="14" priority="2" stopIfTrue="1" operator="equal">
      <formula>"RECHAZADO"</formula>
    </cfRule>
    <cfRule type="cellIs" dxfId="13" priority="3" stopIfTrue="1" operator="equal">
      <formula>"EN REVISIÓN"</formula>
    </cfRule>
    <cfRule type="cellIs" dxfId="12" priority="4" stopIfTrue="1" operator="equal">
      <formula>"PENDIENTE"</formula>
    </cfRule>
  </conditionalFormatting>
  <dataValidations count="1">
    <dataValidation type="list" allowBlank="1" errorTitle="Estado Inválido" error="Selecciona: APROBADO, RECHAZADO, EN REVISIÓN o PENDIENTE." sqref="H8:H17" xr:uid="{00000000-0002-0000-0000-000000000000}">
      <formula1>"APROBADO,RECHAZADO,EN REVISIÓN,PENDIENTE"</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23"/>
  <sheetViews>
    <sheetView topLeftCell="A13" workbookViewId="0">
      <selection sqref="A1:L1"/>
    </sheetView>
  </sheetViews>
  <sheetFormatPr baseColWidth="10" defaultColWidth="8.83203125" defaultRowHeight="15" x14ac:dyDescent="0.2"/>
  <cols>
    <col min="1" max="1" width="10" customWidth="1"/>
    <col min="2" max="2" width="36" customWidth="1"/>
    <col min="3" max="3" width="16" customWidth="1"/>
    <col min="4" max="4" width="18" customWidth="1"/>
    <col min="5" max="5" width="14" customWidth="1"/>
    <col min="6" max="6" width="12" customWidth="1"/>
    <col min="7" max="7" width="10" customWidth="1"/>
    <col min="8" max="8" width="26" customWidth="1"/>
    <col min="9" max="9" width="32" customWidth="1"/>
    <col min="10" max="10" width="22" customWidth="1"/>
    <col min="11" max="11" width="15" customWidth="1"/>
    <col min="12" max="12" width="52" customWidth="1"/>
  </cols>
  <sheetData>
    <row r="1" spans="1:12" ht="25" customHeight="1" x14ac:dyDescent="0.25">
      <c r="A1" s="19" t="s">
        <v>67</v>
      </c>
      <c r="B1" s="18"/>
      <c r="C1" s="18"/>
      <c r="D1" s="18"/>
      <c r="E1" s="18"/>
      <c r="F1" s="18"/>
      <c r="G1" s="18"/>
      <c r="H1" s="18"/>
      <c r="I1" s="18"/>
      <c r="J1" s="18"/>
      <c r="K1" s="18"/>
      <c r="L1" s="18"/>
    </row>
    <row r="2" spans="1:12" ht="20" customHeight="1" x14ac:dyDescent="0.2">
      <c r="A2" s="17" t="s">
        <v>68</v>
      </c>
      <c r="B2" s="18"/>
      <c r="C2" s="18"/>
      <c r="D2" s="18"/>
      <c r="E2" s="18"/>
      <c r="F2" s="18"/>
      <c r="G2" s="18"/>
      <c r="H2" s="18"/>
      <c r="I2" s="18"/>
      <c r="J2" s="18"/>
      <c r="K2" s="18"/>
      <c r="L2" s="18"/>
    </row>
    <row r="3" spans="1:12" ht="18" customHeight="1" x14ac:dyDescent="0.2">
      <c r="A3" s="20" t="s">
        <v>69</v>
      </c>
      <c r="B3" s="18"/>
      <c r="C3" s="18"/>
      <c r="D3" s="18"/>
      <c r="E3" s="18"/>
      <c r="F3" s="18"/>
      <c r="G3" s="18"/>
      <c r="H3" s="18"/>
      <c r="I3" s="18"/>
      <c r="J3" s="18"/>
      <c r="K3" s="18"/>
      <c r="L3" s="18"/>
    </row>
    <row r="5" spans="1:12" x14ac:dyDescent="0.2">
      <c r="A5" s="1" t="s">
        <v>3</v>
      </c>
      <c r="B5" s="2">
        <v>16</v>
      </c>
      <c r="C5" s="1" t="s">
        <v>4</v>
      </c>
      <c r="D5" s="2">
        <f>SUM(G8:G23)</f>
        <v>59</v>
      </c>
      <c r="E5" s="1" t="s">
        <v>5</v>
      </c>
      <c r="F5" s="2">
        <f>COUNTIF(J8:J23, "APROBADO")</f>
        <v>0</v>
      </c>
      <c r="G5" s="1" t="s">
        <v>6</v>
      </c>
      <c r="H5" s="2">
        <f>COUNTIF(J8:J23, "RECHAZADO")</f>
        <v>0</v>
      </c>
      <c r="I5" s="1" t="s">
        <v>7</v>
      </c>
      <c r="J5" s="3">
        <f>F5/B5</f>
        <v>0</v>
      </c>
    </row>
    <row r="7" spans="1:12" ht="28" customHeight="1" x14ac:dyDescent="0.2">
      <c r="A7" s="4" t="s">
        <v>8</v>
      </c>
      <c r="B7" s="4" t="s">
        <v>70</v>
      </c>
      <c r="C7" s="4" t="s">
        <v>10</v>
      </c>
      <c r="D7" s="4" t="s">
        <v>71</v>
      </c>
      <c r="E7" s="4" t="s">
        <v>72</v>
      </c>
      <c r="F7" s="4" t="s">
        <v>12</v>
      </c>
      <c r="G7" s="4" t="s">
        <v>13</v>
      </c>
      <c r="H7" s="4" t="s">
        <v>73</v>
      </c>
      <c r="I7" s="4" t="s">
        <v>74</v>
      </c>
      <c r="J7" s="4" t="s">
        <v>15</v>
      </c>
      <c r="K7" s="4" t="s">
        <v>16</v>
      </c>
      <c r="L7" s="4" t="s">
        <v>17</v>
      </c>
    </row>
    <row r="8" spans="1:12" ht="40" customHeight="1" x14ac:dyDescent="0.2">
      <c r="A8" s="5" t="s">
        <v>75</v>
      </c>
      <c r="B8" s="6" t="s">
        <v>76</v>
      </c>
      <c r="C8" s="7" t="s">
        <v>77</v>
      </c>
      <c r="D8" s="7" t="s">
        <v>78</v>
      </c>
      <c r="E8" s="7" t="s">
        <v>79</v>
      </c>
      <c r="F8" s="7" t="s">
        <v>23</v>
      </c>
      <c r="G8" s="7">
        <v>3</v>
      </c>
      <c r="H8" s="7" t="s">
        <v>80</v>
      </c>
      <c r="I8" s="6" t="s">
        <v>81</v>
      </c>
      <c r="J8" s="7" t="s">
        <v>33</v>
      </c>
      <c r="K8" s="7"/>
      <c r="L8" s="6" t="s">
        <v>82</v>
      </c>
    </row>
    <row r="9" spans="1:12" ht="40" customHeight="1" x14ac:dyDescent="0.2">
      <c r="A9" s="8" t="s">
        <v>83</v>
      </c>
      <c r="B9" s="9" t="s">
        <v>84</v>
      </c>
      <c r="C9" s="10" t="s">
        <v>63</v>
      </c>
      <c r="D9" s="10" t="s">
        <v>78</v>
      </c>
      <c r="E9" s="10" t="s">
        <v>79</v>
      </c>
      <c r="F9" s="10" t="s">
        <v>23</v>
      </c>
      <c r="G9" s="10">
        <v>2</v>
      </c>
      <c r="H9" s="10" t="s">
        <v>80</v>
      </c>
      <c r="I9" s="9" t="s">
        <v>85</v>
      </c>
      <c r="J9" s="10" t="s">
        <v>33</v>
      </c>
      <c r="K9" s="10"/>
      <c r="L9" s="9" t="s">
        <v>86</v>
      </c>
    </row>
    <row r="10" spans="1:12" ht="40" customHeight="1" x14ac:dyDescent="0.2">
      <c r="A10" s="5" t="s">
        <v>87</v>
      </c>
      <c r="B10" s="6" t="s">
        <v>88</v>
      </c>
      <c r="C10" s="7" t="s">
        <v>30</v>
      </c>
      <c r="D10" s="7" t="s">
        <v>78</v>
      </c>
      <c r="E10" s="7" t="s">
        <v>79</v>
      </c>
      <c r="F10" s="7" t="s">
        <v>23</v>
      </c>
      <c r="G10" s="7">
        <v>5</v>
      </c>
      <c r="H10" s="7" t="s">
        <v>80</v>
      </c>
      <c r="I10" s="6" t="s">
        <v>89</v>
      </c>
      <c r="J10" s="7" t="s">
        <v>33</v>
      </c>
      <c r="K10" s="7"/>
      <c r="L10" s="6" t="s">
        <v>90</v>
      </c>
    </row>
    <row r="11" spans="1:12" ht="40" customHeight="1" x14ac:dyDescent="0.2">
      <c r="A11" s="8" t="s">
        <v>91</v>
      </c>
      <c r="B11" s="9" t="s">
        <v>92</v>
      </c>
      <c r="C11" s="10" t="s">
        <v>63</v>
      </c>
      <c r="D11" s="10" t="s">
        <v>78</v>
      </c>
      <c r="E11" s="10" t="s">
        <v>93</v>
      </c>
      <c r="F11" s="10" t="s">
        <v>23</v>
      </c>
      <c r="G11" s="10">
        <v>3</v>
      </c>
      <c r="H11" s="10" t="s">
        <v>80</v>
      </c>
      <c r="I11" s="9" t="s">
        <v>94</v>
      </c>
      <c r="J11" s="10" t="s">
        <v>33</v>
      </c>
      <c r="K11" s="10"/>
      <c r="L11" s="9" t="s">
        <v>95</v>
      </c>
    </row>
    <row r="12" spans="1:12" ht="40" customHeight="1" x14ac:dyDescent="0.2">
      <c r="A12" s="5" t="s">
        <v>96</v>
      </c>
      <c r="B12" s="6" t="s">
        <v>97</v>
      </c>
      <c r="C12" s="7" t="s">
        <v>77</v>
      </c>
      <c r="D12" s="7" t="s">
        <v>78</v>
      </c>
      <c r="E12" s="7" t="s">
        <v>93</v>
      </c>
      <c r="F12" s="7" t="s">
        <v>23</v>
      </c>
      <c r="G12" s="7">
        <v>5</v>
      </c>
      <c r="H12" s="7" t="s">
        <v>80</v>
      </c>
      <c r="I12" s="6" t="s">
        <v>98</v>
      </c>
      <c r="J12" s="7" t="s">
        <v>33</v>
      </c>
      <c r="K12" s="7"/>
      <c r="L12" s="6" t="s">
        <v>99</v>
      </c>
    </row>
    <row r="13" spans="1:12" ht="40" customHeight="1" x14ac:dyDescent="0.2">
      <c r="A13" s="8" t="s">
        <v>100</v>
      </c>
      <c r="B13" s="9" t="s">
        <v>101</v>
      </c>
      <c r="C13" s="10" t="s">
        <v>77</v>
      </c>
      <c r="D13" s="10" t="s">
        <v>78</v>
      </c>
      <c r="E13" s="10" t="s">
        <v>93</v>
      </c>
      <c r="F13" s="10" t="s">
        <v>23</v>
      </c>
      <c r="G13" s="10">
        <v>8</v>
      </c>
      <c r="H13" s="10" t="s">
        <v>80</v>
      </c>
      <c r="I13" s="9" t="s">
        <v>102</v>
      </c>
      <c r="J13" s="10" t="s">
        <v>33</v>
      </c>
      <c r="K13" s="10"/>
      <c r="L13" s="9" t="s">
        <v>103</v>
      </c>
    </row>
    <row r="14" spans="1:12" ht="40" customHeight="1" x14ac:dyDescent="0.2">
      <c r="A14" s="5" t="s">
        <v>104</v>
      </c>
      <c r="B14" s="6" t="s">
        <v>105</v>
      </c>
      <c r="C14" s="7" t="s">
        <v>63</v>
      </c>
      <c r="D14" s="7" t="s">
        <v>78</v>
      </c>
      <c r="E14" s="7" t="s">
        <v>93</v>
      </c>
      <c r="F14" s="7" t="s">
        <v>23</v>
      </c>
      <c r="G14" s="7">
        <v>3</v>
      </c>
      <c r="H14" s="7" t="s">
        <v>106</v>
      </c>
      <c r="I14" s="6" t="s">
        <v>107</v>
      </c>
      <c r="J14" s="7" t="s">
        <v>33</v>
      </c>
      <c r="K14" s="7"/>
      <c r="L14" s="6" t="s">
        <v>108</v>
      </c>
    </row>
    <row r="15" spans="1:12" ht="40" customHeight="1" x14ac:dyDescent="0.2">
      <c r="A15" s="8" t="s">
        <v>109</v>
      </c>
      <c r="B15" s="9" t="s">
        <v>110</v>
      </c>
      <c r="C15" s="10" t="s">
        <v>63</v>
      </c>
      <c r="D15" s="10" t="s">
        <v>78</v>
      </c>
      <c r="E15" s="10" t="s">
        <v>93</v>
      </c>
      <c r="F15" s="10" t="s">
        <v>23</v>
      </c>
      <c r="G15" s="10">
        <v>3</v>
      </c>
      <c r="H15" s="10" t="s">
        <v>106</v>
      </c>
      <c r="I15" s="9" t="s">
        <v>111</v>
      </c>
      <c r="J15" s="10" t="s">
        <v>33</v>
      </c>
      <c r="K15" s="10"/>
      <c r="L15" s="9" t="s">
        <v>112</v>
      </c>
    </row>
    <row r="16" spans="1:12" ht="40" customHeight="1" x14ac:dyDescent="0.2">
      <c r="A16" s="5" t="s">
        <v>113</v>
      </c>
      <c r="B16" s="6" t="s">
        <v>114</v>
      </c>
      <c r="C16" s="7" t="s">
        <v>63</v>
      </c>
      <c r="D16" s="7" t="s">
        <v>78</v>
      </c>
      <c r="E16" s="7" t="s">
        <v>93</v>
      </c>
      <c r="F16" s="7" t="s">
        <v>32</v>
      </c>
      <c r="G16" s="7">
        <v>3</v>
      </c>
      <c r="H16" s="7" t="s">
        <v>106</v>
      </c>
      <c r="I16" s="6" t="s">
        <v>115</v>
      </c>
      <c r="J16" s="7" t="s">
        <v>33</v>
      </c>
      <c r="K16" s="7"/>
      <c r="L16" s="6" t="s">
        <v>116</v>
      </c>
    </row>
    <row r="17" spans="1:12" ht="40" customHeight="1" x14ac:dyDescent="0.2">
      <c r="A17" s="8" t="s">
        <v>117</v>
      </c>
      <c r="B17" s="9" t="s">
        <v>118</v>
      </c>
      <c r="C17" s="10" t="s">
        <v>63</v>
      </c>
      <c r="D17" s="10" t="s">
        <v>78</v>
      </c>
      <c r="E17" s="10" t="s">
        <v>93</v>
      </c>
      <c r="F17" s="10" t="s">
        <v>23</v>
      </c>
      <c r="G17" s="10">
        <v>3</v>
      </c>
      <c r="H17" s="10" t="s">
        <v>106</v>
      </c>
      <c r="I17" s="9" t="s">
        <v>119</v>
      </c>
      <c r="J17" s="10" t="s">
        <v>33</v>
      </c>
      <c r="K17" s="10"/>
      <c r="L17" s="9" t="s">
        <v>120</v>
      </c>
    </row>
    <row r="18" spans="1:12" ht="40" customHeight="1" x14ac:dyDescent="0.2">
      <c r="A18" s="5" t="s">
        <v>121</v>
      </c>
      <c r="B18" s="6" t="s">
        <v>122</v>
      </c>
      <c r="C18" s="7" t="s">
        <v>77</v>
      </c>
      <c r="D18" s="7" t="s">
        <v>78</v>
      </c>
      <c r="E18" s="7" t="s">
        <v>93</v>
      </c>
      <c r="F18" s="7" t="s">
        <v>32</v>
      </c>
      <c r="G18" s="7">
        <v>3</v>
      </c>
      <c r="H18" s="7" t="s">
        <v>106</v>
      </c>
      <c r="I18" s="6" t="s">
        <v>123</v>
      </c>
      <c r="J18" s="7" t="s">
        <v>33</v>
      </c>
      <c r="K18" s="7"/>
      <c r="L18" s="6" t="s">
        <v>124</v>
      </c>
    </row>
    <row r="19" spans="1:12" ht="40" customHeight="1" x14ac:dyDescent="0.2">
      <c r="A19" s="8" t="s">
        <v>125</v>
      </c>
      <c r="B19" s="9" t="s">
        <v>126</v>
      </c>
      <c r="C19" s="10" t="s">
        <v>77</v>
      </c>
      <c r="D19" s="10" t="s">
        <v>78</v>
      </c>
      <c r="E19" s="10" t="s">
        <v>93</v>
      </c>
      <c r="F19" s="10" t="s">
        <v>32</v>
      </c>
      <c r="G19" s="10">
        <v>5</v>
      </c>
      <c r="H19" s="10" t="s">
        <v>127</v>
      </c>
      <c r="I19" s="9" t="s">
        <v>128</v>
      </c>
      <c r="J19" s="10" t="s">
        <v>33</v>
      </c>
      <c r="K19" s="10"/>
      <c r="L19" s="9" t="s">
        <v>129</v>
      </c>
    </row>
    <row r="20" spans="1:12" ht="40" customHeight="1" x14ac:dyDescent="0.2">
      <c r="A20" s="5" t="s">
        <v>130</v>
      </c>
      <c r="B20" s="6" t="s">
        <v>131</v>
      </c>
      <c r="C20" s="7" t="s">
        <v>63</v>
      </c>
      <c r="D20" s="7" t="s">
        <v>78</v>
      </c>
      <c r="E20" s="7" t="s">
        <v>93</v>
      </c>
      <c r="F20" s="7" t="s">
        <v>32</v>
      </c>
      <c r="G20" s="7">
        <v>3</v>
      </c>
      <c r="H20" s="7" t="s">
        <v>127</v>
      </c>
      <c r="I20" s="6" t="s">
        <v>132</v>
      </c>
      <c r="J20" s="7" t="s">
        <v>33</v>
      </c>
      <c r="K20" s="7"/>
      <c r="L20" s="6" t="s">
        <v>133</v>
      </c>
    </row>
    <row r="21" spans="1:12" ht="40" customHeight="1" x14ac:dyDescent="0.2">
      <c r="A21" s="8" t="s">
        <v>134</v>
      </c>
      <c r="B21" s="9" t="s">
        <v>135</v>
      </c>
      <c r="C21" s="10" t="s">
        <v>63</v>
      </c>
      <c r="D21" s="10" t="s">
        <v>78</v>
      </c>
      <c r="E21" s="10" t="s">
        <v>93</v>
      </c>
      <c r="F21" s="10" t="s">
        <v>136</v>
      </c>
      <c r="G21" s="10">
        <v>2</v>
      </c>
      <c r="H21" s="10" t="s">
        <v>127</v>
      </c>
      <c r="I21" s="9" t="s">
        <v>137</v>
      </c>
      <c r="J21" s="10" t="s">
        <v>33</v>
      </c>
      <c r="K21" s="10"/>
      <c r="L21" s="9" t="s">
        <v>138</v>
      </c>
    </row>
    <row r="22" spans="1:12" ht="40" customHeight="1" x14ac:dyDescent="0.2">
      <c r="A22" s="5" t="s">
        <v>139</v>
      </c>
      <c r="B22" s="6" t="s">
        <v>140</v>
      </c>
      <c r="C22" s="7" t="s">
        <v>30</v>
      </c>
      <c r="D22" s="7" t="s">
        <v>78</v>
      </c>
      <c r="E22" s="7" t="s">
        <v>79</v>
      </c>
      <c r="F22" s="7" t="s">
        <v>23</v>
      </c>
      <c r="G22" s="7">
        <v>5</v>
      </c>
      <c r="H22" s="7" t="s">
        <v>127</v>
      </c>
      <c r="I22" s="6" t="s">
        <v>141</v>
      </c>
      <c r="J22" s="7" t="s">
        <v>33</v>
      </c>
      <c r="K22" s="7"/>
      <c r="L22" s="6" t="s">
        <v>142</v>
      </c>
    </row>
    <row r="23" spans="1:12" ht="40" customHeight="1" x14ac:dyDescent="0.2">
      <c r="A23" s="8" t="s">
        <v>143</v>
      </c>
      <c r="B23" s="9" t="s">
        <v>144</v>
      </c>
      <c r="C23" s="10" t="s">
        <v>77</v>
      </c>
      <c r="D23" s="10" t="s">
        <v>78</v>
      </c>
      <c r="E23" s="10" t="s">
        <v>93</v>
      </c>
      <c r="F23" s="10" t="s">
        <v>23</v>
      </c>
      <c r="G23" s="10">
        <v>3</v>
      </c>
      <c r="H23" s="10" t="s">
        <v>127</v>
      </c>
      <c r="I23" s="9" t="s">
        <v>145</v>
      </c>
      <c r="J23" s="10" t="s">
        <v>33</v>
      </c>
      <c r="K23" s="10"/>
      <c r="L23" s="9" t="s">
        <v>146</v>
      </c>
    </row>
  </sheetData>
  <mergeCells count="3">
    <mergeCell ref="A3:L3"/>
    <mergeCell ref="A2:L2"/>
    <mergeCell ref="A1:L1"/>
  </mergeCells>
  <conditionalFormatting sqref="J8:J23">
    <cfRule type="cellIs" dxfId="11" priority="1" stopIfTrue="1" operator="equal">
      <formula>"APROBADO"</formula>
    </cfRule>
    <cfRule type="cellIs" dxfId="10" priority="2" stopIfTrue="1" operator="equal">
      <formula>"RECHAZADO"</formula>
    </cfRule>
    <cfRule type="cellIs" dxfId="9" priority="3" stopIfTrue="1" operator="equal">
      <formula>"EN REVISIÓN"</formula>
    </cfRule>
    <cfRule type="cellIs" dxfId="8" priority="4" stopIfTrue="1" operator="equal">
      <formula>"PENDIENTE"</formula>
    </cfRule>
  </conditionalFormatting>
  <dataValidations count="1">
    <dataValidation type="list" allowBlank="1" sqref="J8:J23" xr:uid="{00000000-0002-0000-0100-000000000000}">
      <formula1>"APROBADO,RECHAZADO,EN REVISIÓN,PENDIENTE"</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01"/>
  <sheetViews>
    <sheetView showGridLines="0" tabSelected="1" workbookViewId="0">
      <selection activeCell="D9" sqref="D9"/>
    </sheetView>
  </sheetViews>
  <sheetFormatPr baseColWidth="10" defaultColWidth="8.83203125" defaultRowHeight="15" x14ac:dyDescent="0.2"/>
  <cols>
    <col min="1" max="1" width="14" customWidth="1"/>
    <col min="2" max="3" width="12" customWidth="1"/>
    <col min="4" max="4" width="45" customWidth="1"/>
    <col min="5" max="5" width="42" customWidth="1"/>
    <col min="6" max="6" width="14" customWidth="1"/>
    <col min="7" max="7" width="20" customWidth="1"/>
    <col min="8" max="8" width="35" customWidth="1"/>
  </cols>
  <sheetData>
    <row r="1" spans="1:8" ht="25" customHeight="1" x14ac:dyDescent="0.25">
      <c r="A1" s="19" t="s">
        <v>147</v>
      </c>
      <c r="B1" s="18"/>
      <c r="C1" s="18"/>
      <c r="D1" s="18"/>
      <c r="E1" s="18"/>
      <c r="F1" s="18"/>
      <c r="G1" s="18"/>
      <c r="H1" s="18"/>
    </row>
    <row r="2" spans="1:8" ht="18" customHeight="1" x14ac:dyDescent="0.2">
      <c r="A2" s="20" t="s">
        <v>148</v>
      </c>
      <c r="B2" s="18"/>
      <c r="C2" s="18"/>
      <c r="D2" s="18"/>
      <c r="E2" s="18"/>
      <c r="F2" s="18"/>
      <c r="G2" s="18"/>
      <c r="H2" s="18"/>
    </row>
    <row r="4" spans="1:8" ht="28" customHeight="1" x14ac:dyDescent="0.2">
      <c r="A4" s="4" t="s">
        <v>149</v>
      </c>
      <c r="B4" s="4" t="s">
        <v>150</v>
      </c>
      <c r="C4" s="4" t="s">
        <v>151</v>
      </c>
      <c r="D4" s="4" t="s">
        <v>152</v>
      </c>
      <c r="E4" s="4" t="s">
        <v>153</v>
      </c>
      <c r="F4" s="4" t="s">
        <v>154</v>
      </c>
      <c r="G4" s="4" t="s">
        <v>155</v>
      </c>
      <c r="H4" s="4" t="s">
        <v>156</v>
      </c>
    </row>
    <row r="5" spans="1:8" ht="32" customHeight="1" x14ac:dyDescent="0.2">
      <c r="A5" s="16" t="s">
        <v>157</v>
      </c>
      <c r="B5" s="16" t="s">
        <v>19</v>
      </c>
      <c r="C5" s="16" t="s">
        <v>158</v>
      </c>
      <c r="D5" s="15" t="s">
        <v>159</v>
      </c>
      <c r="E5" s="15" t="s">
        <v>160</v>
      </c>
      <c r="F5" s="15" t="s">
        <v>23</v>
      </c>
      <c r="G5" s="15" t="s">
        <v>33</v>
      </c>
      <c r="H5" s="15"/>
    </row>
    <row r="6" spans="1:8" ht="32" customHeight="1" x14ac:dyDescent="0.2">
      <c r="A6" s="16" t="s">
        <v>157</v>
      </c>
      <c r="B6" s="16" t="s">
        <v>19</v>
      </c>
      <c r="C6" s="16" t="s">
        <v>161</v>
      </c>
      <c r="D6" s="15" t="s">
        <v>162</v>
      </c>
      <c r="E6" s="15" t="s">
        <v>160</v>
      </c>
      <c r="F6" s="15" t="s">
        <v>23</v>
      </c>
      <c r="G6" s="15" t="s">
        <v>33</v>
      </c>
      <c r="H6" s="15"/>
    </row>
    <row r="7" spans="1:8" ht="32" customHeight="1" x14ac:dyDescent="0.2">
      <c r="A7" s="16" t="s">
        <v>157</v>
      </c>
      <c r="B7" s="16" t="s">
        <v>19</v>
      </c>
      <c r="C7" s="16" t="s">
        <v>163</v>
      </c>
      <c r="D7" s="15" t="s">
        <v>164</v>
      </c>
      <c r="E7" s="15" t="s">
        <v>160</v>
      </c>
      <c r="F7" s="15" t="s">
        <v>23</v>
      </c>
      <c r="G7" s="15" t="s">
        <v>33</v>
      </c>
      <c r="H7" s="15"/>
    </row>
    <row r="8" spans="1:8" ht="32" customHeight="1" x14ac:dyDescent="0.2">
      <c r="A8" s="16" t="s">
        <v>157</v>
      </c>
      <c r="B8" s="16" t="s">
        <v>19</v>
      </c>
      <c r="C8" s="16" t="s">
        <v>165</v>
      </c>
      <c r="D8" s="15" t="s">
        <v>166</v>
      </c>
      <c r="E8" s="15" t="s">
        <v>160</v>
      </c>
      <c r="F8" s="15" t="s">
        <v>23</v>
      </c>
      <c r="G8" s="15" t="s">
        <v>33</v>
      </c>
      <c r="H8" s="15"/>
    </row>
    <row r="9" spans="1:8" ht="32" customHeight="1" x14ac:dyDescent="0.2">
      <c r="A9" s="16" t="s">
        <v>157</v>
      </c>
      <c r="B9" s="16" t="s">
        <v>28</v>
      </c>
      <c r="C9" s="16" t="s">
        <v>158</v>
      </c>
      <c r="D9" s="15" t="s">
        <v>167</v>
      </c>
      <c r="E9" s="15" t="s">
        <v>160</v>
      </c>
      <c r="F9" s="15" t="s">
        <v>32</v>
      </c>
      <c r="G9" s="15" t="s">
        <v>33</v>
      </c>
      <c r="H9" s="15"/>
    </row>
    <row r="10" spans="1:8" ht="32" customHeight="1" x14ac:dyDescent="0.2">
      <c r="A10" s="16" t="s">
        <v>157</v>
      </c>
      <c r="B10" s="16" t="s">
        <v>28</v>
      </c>
      <c r="C10" s="16" t="s">
        <v>161</v>
      </c>
      <c r="D10" s="15" t="s">
        <v>168</v>
      </c>
      <c r="E10" s="15" t="s">
        <v>160</v>
      </c>
      <c r="F10" s="15" t="s">
        <v>32</v>
      </c>
      <c r="G10" s="15" t="s">
        <v>33</v>
      </c>
      <c r="H10" s="15"/>
    </row>
    <row r="11" spans="1:8" ht="32" customHeight="1" x14ac:dyDescent="0.2">
      <c r="A11" s="16" t="s">
        <v>157</v>
      </c>
      <c r="B11" s="16" t="s">
        <v>28</v>
      </c>
      <c r="C11" s="16" t="s">
        <v>163</v>
      </c>
      <c r="D11" s="15" t="s">
        <v>169</v>
      </c>
      <c r="E11" s="15" t="s">
        <v>160</v>
      </c>
      <c r="F11" s="15" t="s">
        <v>32</v>
      </c>
      <c r="G11" s="15" t="s">
        <v>33</v>
      </c>
      <c r="H11" s="15"/>
    </row>
    <row r="12" spans="1:8" ht="32" customHeight="1" x14ac:dyDescent="0.2">
      <c r="A12" s="16" t="s">
        <v>157</v>
      </c>
      <c r="B12" s="16" t="s">
        <v>28</v>
      </c>
      <c r="C12" s="16" t="s">
        <v>165</v>
      </c>
      <c r="D12" s="15" t="s">
        <v>170</v>
      </c>
      <c r="E12" s="15" t="s">
        <v>160</v>
      </c>
      <c r="F12" s="15" t="s">
        <v>32</v>
      </c>
      <c r="G12" s="15" t="s">
        <v>33</v>
      </c>
      <c r="H12" s="15"/>
    </row>
    <row r="13" spans="1:8" ht="32" customHeight="1" x14ac:dyDescent="0.2">
      <c r="A13" s="16" t="s">
        <v>157</v>
      </c>
      <c r="B13" s="16" t="s">
        <v>36</v>
      </c>
      <c r="C13" s="16" t="s">
        <v>158</v>
      </c>
      <c r="D13" s="15" t="s">
        <v>171</v>
      </c>
      <c r="E13" s="15" t="s">
        <v>160</v>
      </c>
      <c r="F13" s="15" t="s">
        <v>23</v>
      </c>
      <c r="G13" s="15" t="s">
        <v>33</v>
      </c>
      <c r="H13" s="15"/>
    </row>
    <row r="14" spans="1:8" ht="32" customHeight="1" x14ac:dyDescent="0.2">
      <c r="A14" s="16" t="s">
        <v>157</v>
      </c>
      <c r="B14" s="16" t="s">
        <v>36</v>
      </c>
      <c r="C14" s="16" t="s">
        <v>161</v>
      </c>
      <c r="D14" s="15" t="s">
        <v>172</v>
      </c>
      <c r="E14" s="15" t="s">
        <v>160</v>
      </c>
      <c r="F14" s="15" t="s">
        <v>23</v>
      </c>
      <c r="G14" s="15" t="s">
        <v>33</v>
      </c>
      <c r="H14" s="15"/>
    </row>
    <row r="15" spans="1:8" ht="32" customHeight="1" x14ac:dyDescent="0.2">
      <c r="A15" s="16" t="s">
        <v>157</v>
      </c>
      <c r="B15" s="16" t="s">
        <v>36</v>
      </c>
      <c r="C15" s="16" t="s">
        <v>163</v>
      </c>
      <c r="D15" s="15" t="s">
        <v>173</v>
      </c>
      <c r="E15" s="15" t="s">
        <v>160</v>
      </c>
      <c r="F15" s="15" t="s">
        <v>23</v>
      </c>
      <c r="G15" s="15" t="s">
        <v>33</v>
      </c>
      <c r="H15" s="15"/>
    </row>
    <row r="16" spans="1:8" ht="32" customHeight="1" x14ac:dyDescent="0.2">
      <c r="A16" s="16" t="s">
        <v>157</v>
      </c>
      <c r="B16" s="16" t="s">
        <v>36</v>
      </c>
      <c r="C16" s="16" t="s">
        <v>165</v>
      </c>
      <c r="D16" s="15" t="s">
        <v>166</v>
      </c>
      <c r="E16" s="15" t="s">
        <v>160</v>
      </c>
      <c r="F16" s="15" t="s">
        <v>23</v>
      </c>
      <c r="G16" s="15" t="s">
        <v>33</v>
      </c>
      <c r="H16" s="15"/>
    </row>
    <row r="17" spans="1:8" ht="32" customHeight="1" x14ac:dyDescent="0.2">
      <c r="A17" s="16" t="s">
        <v>157</v>
      </c>
      <c r="B17" s="16" t="s">
        <v>40</v>
      </c>
      <c r="C17" s="16" t="s">
        <v>158</v>
      </c>
      <c r="D17" s="15" t="s">
        <v>174</v>
      </c>
      <c r="E17" s="15" t="s">
        <v>160</v>
      </c>
      <c r="F17" s="15" t="s">
        <v>32</v>
      </c>
      <c r="G17" s="15" t="s">
        <v>33</v>
      </c>
      <c r="H17" s="15"/>
    </row>
    <row r="18" spans="1:8" ht="32" customHeight="1" x14ac:dyDescent="0.2">
      <c r="A18" s="16" t="s">
        <v>157</v>
      </c>
      <c r="B18" s="16" t="s">
        <v>40</v>
      </c>
      <c r="C18" s="16" t="s">
        <v>161</v>
      </c>
      <c r="D18" s="15" t="s">
        <v>175</v>
      </c>
      <c r="E18" s="15" t="s">
        <v>160</v>
      </c>
      <c r="F18" s="15" t="s">
        <v>32</v>
      </c>
      <c r="G18" s="15" t="s">
        <v>33</v>
      </c>
      <c r="H18" s="15"/>
    </row>
    <row r="19" spans="1:8" ht="32" customHeight="1" x14ac:dyDescent="0.2">
      <c r="A19" s="16" t="s">
        <v>157</v>
      </c>
      <c r="B19" s="16" t="s">
        <v>40</v>
      </c>
      <c r="C19" s="16" t="s">
        <v>163</v>
      </c>
      <c r="D19" s="15" t="s">
        <v>176</v>
      </c>
      <c r="E19" s="15" t="s">
        <v>160</v>
      </c>
      <c r="F19" s="15" t="s">
        <v>32</v>
      </c>
      <c r="G19" s="15" t="s">
        <v>33</v>
      </c>
      <c r="H19" s="15"/>
    </row>
    <row r="20" spans="1:8" ht="32" customHeight="1" x14ac:dyDescent="0.2">
      <c r="A20" s="16" t="s">
        <v>157</v>
      </c>
      <c r="B20" s="16" t="s">
        <v>40</v>
      </c>
      <c r="C20" s="16" t="s">
        <v>165</v>
      </c>
      <c r="D20" s="15" t="s">
        <v>177</v>
      </c>
      <c r="E20" s="15" t="s">
        <v>160</v>
      </c>
      <c r="F20" s="15" t="s">
        <v>32</v>
      </c>
      <c r="G20" s="15" t="s">
        <v>33</v>
      </c>
      <c r="H20" s="15"/>
    </row>
    <row r="21" spans="1:8" ht="32" customHeight="1" x14ac:dyDescent="0.2">
      <c r="A21" s="16" t="s">
        <v>157</v>
      </c>
      <c r="B21" s="16" t="s">
        <v>40</v>
      </c>
      <c r="C21" s="16" t="s">
        <v>178</v>
      </c>
      <c r="D21" s="15" t="s">
        <v>166</v>
      </c>
      <c r="E21" s="15" t="s">
        <v>160</v>
      </c>
      <c r="F21" s="15" t="s">
        <v>32</v>
      </c>
      <c r="G21" s="15" t="s">
        <v>33</v>
      </c>
      <c r="H21" s="15"/>
    </row>
    <row r="22" spans="1:8" ht="32" customHeight="1" x14ac:dyDescent="0.2">
      <c r="A22" s="16" t="s">
        <v>157</v>
      </c>
      <c r="B22" s="16" t="s">
        <v>43</v>
      </c>
      <c r="C22" s="16" t="s">
        <v>158</v>
      </c>
      <c r="D22" s="15" t="s">
        <v>179</v>
      </c>
      <c r="E22" s="15" t="s">
        <v>160</v>
      </c>
      <c r="F22" s="15" t="s">
        <v>32</v>
      </c>
      <c r="G22" s="15" t="s">
        <v>33</v>
      </c>
      <c r="H22" s="15"/>
    </row>
    <row r="23" spans="1:8" ht="32" customHeight="1" x14ac:dyDescent="0.2">
      <c r="A23" s="16" t="s">
        <v>157</v>
      </c>
      <c r="B23" s="16" t="s">
        <v>43</v>
      </c>
      <c r="C23" s="16" t="s">
        <v>161</v>
      </c>
      <c r="D23" s="15" t="s">
        <v>180</v>
      </c>
      <c r="E23" s="15" t="s">
        <v>160</v>
      </c>
      <c r="F23" s="15" t="s">
        <v>32</v>
      </c>
      <c r="G23" s="15" t="s">
        <v>33</v>
      </c>
      <c r="H23" s="15"/>
    </row>
    <row r="24" spans="1:8" ht="32" customHeight="1" x14ac:dyDescent="0.2">
      <c r="A24" s="16" t="s">
        <v>157</v>
      </c>
      <c r="B24" s="16" t="s">
        <v>43</v>
      </c>
      <c r="C24" s="16" t="s">
        <v>163</v>
      </c>
      <c r="D24" s="15" t="s">
        <v>181</v>
      </c>
      <c r="E24" s="15" t="s">
        <v>160</v>
      </c>
      <c r="F24" s="15" t="s">
        <v>32</v>
      </c>
      <c r="G24" s="15" t="s">
        <v>33</v>
      </c>
      <c r="H24" s="15"/>
    </row>
    <row r="25" spans="1:8" ht="32" customHeight="1" x14ac:dyDescent="0.2">
      <c r="A25" s="16" t="s">
        <v>157</v>
      </c>
      <c r="B25" s="16" t="s">
        <v>43</v>
      </c>
      <c r="C25" s="16" t="s">
        <v>165</v>
      </c>
      <c r="D25" s="15" t="s">
        <v>166</v>
      </c>
      <c r="E25" s="15" t="s">
        <v>160</v>
      </c>
      <c r="F25" s="15" t="s">
        <v>32</v>
      </c>
      <c r="G25" s="15" t="s">
        <v>33</v>
      </c>
      <c r="H25" s="15"/>
    </row>
    <row r="26" spans="1:8" ht="32" customHeight="1" x14ac:dyDescent="0.2">
      <c r="A26" s="16" t="s">
        <v>157</v>
      </c>
      <c r="B26" s="16" t="s">
        <v>47</v>
      </c>
      <c r="C26" s="16" t="s">
        <v>158</v>
      </c>
      <c r="D26" s="15" t="s">
        <v>182</v>
      </c>
      <c r="E26" s="15" t="s">
        <v>160</v>
      </c>
      <c r="F26" s="15" t="s">
        <v>23</v>
      </c>
      <c r="G26" s="15" t="s">
        <v>33</v>
      </c>
      <c r="H26" s="15"/>
    </row>
    <row r="27" spans="1:8" ht="32" customHeight="1" x14ac:dyDescent="0.2">
      <c r="A27" s="16" t="s">
        <v>157</v>
      </c>
      <c r="B27" s="16" t="s">
        <v>47</v>
      </c>
      <c r="C27" s="16" t="s">
        <v>161</v>
      </c>
      <c r="D27" s="15" t="s">
        <v>183</v>
      </c>
      <c r="E27" s="15" t="s">
        <v>160</v>
      </c>
      <c r="F27" s="15" t="s">
        <v>23</v>
      </c>
      <c r="G27" s="15" t="s">
        <v>33</v>
      </c>
      <c r="H27" s="15"/>
    </row>
    <row r="28" spans="1:8" ht="32" customHeight="1" x14ac:dyDescent="0.2">
      <c r="A28" s="16" t="s">
        <v>157</v>
      </c>
      <c r="B28" s="16" t="s">
        <v>47</v>
      </c>
      <c r="C28" s="16" t="s">
        <v>163</v>
      </c>
      <c r="D28" s="15" t="s">
        <v>184</v>
      </c>
      <c r="E28" s="15" t="s">
        <v>160</v>
      </c>
      <c r="F28" s="15" t="s">
        <v>23</v>
      </c>
      <c r="G28" s="15" t="s">
        <v>33</v>
      </c>
      <c r="H28" s="15"/>
    </row>
    <row r="29" spans="1:8" ht="32" customHeight="1" x14ac:dyDescent="0.2">
      <c r="A29" s="16" t="s">
        <v>157</v>
      </c>
      <c r="B29" s="16" t="s">
        <v>47</v>
      </c>
      <c r="C29" s="16" t="s">
        <v>165</v>
      </c>
      <c r="D29" s="15" t="s">
        <v>185</v>
      </c>
      <c r="E29" s="15" t="s">
        <v>160</v>
      </c>
      <c r="F29" s="15" t="s">
        <v>23</v>
      </c>
      <c r="G29" s="15" t="s">
        <v>33</v>
      </c>
      <c r="H29" s="15"/>
    </row>
    <row r="30" spans="1:8" ht="32" customHeight="1" x14ac:dyDescent="0.2">
      <c r="A30" s="16" t="s">
        <v>157</v>
      </c>
      <c r="B30" s="16" t="s">
        <v>47</v>
      </c>
      <c r="C30" s="16" t="s">
        <v>178</v>
      </c>
      <c r="D30" s="15" t="s">
        <v>166</v>
      </c>
      <c r="E30" s="15" t="s">
        <v>160</v>
      </c>
      <c r="F30" s="15" t="s">
        <v>23</v>
      </c>
      <c r="G30" s="15" t="s">
        <v>33</v>
      </c>
      <c r="H30" s="15"/>
    </row>
    <row r="31" spans="1:8" ht="32" customHeight="1" x14ac:dyDescent="0.2">
      <c r="A31" s="16" t="s">
        <v>157</v>
      </c>
      <c r="B31" s="16" t="s">
        <v>51</v>
      </c>
      <c r="C31" s="16" t="s">
        <v>158</v>
      </c>
      <c r="D31" s="15" t="s">
        <v>186</v>
      </c>
      <c r="E31" s="15" t="s">
        <v>160</v>
      </c>
      <c r="F31" s="15" t="s">
        <v>23</v>
      </c>
      <c r="G31" s="15" t="s">
        <v>33</v>
      </c>
      <c r="H31" s="15"/>
    </row>
    <row r="32" spans="1:8" ht="32" customHeight="1" x14ac:dyDescent="0.2">
      <c r="A32" s="16" t="s">
        <v>157</v>
      </c>
      <c r="B32" s="16" t="s">
        <v>51</v>
      </c>
      <c r="C32" s="16" t="s">
        <v>161</v>
      </c>
      <c r="D32" s="15" t="s">
        <v>187</v>
      </c>
      <c r="E32" s="15" t="s">
        <v>160</v>
      </c>
      <c r="F32" s="15" t="s">
        <v>23</v>
      </c>
      <c r="G32" s="15" t="s">
        <v>33</v>
      </c>
      <c r="H32" s="15"/>
    </row>
    <row r="33" spans="1:8" ht="32" customHeight="1" x14ac:dyDescent="0.2">
      <c r="A33" s="16" t="s">
        <v>157</v>
      </c>
      <c r="B33" s="16" t="s">
        <v>51</v>
      </c>
      <c r="C33" s="16" t="s">
        <v>163</v>
      </c>
      <c r="D33" s="15" t="s">
        <v>188</v>
      </c>
      <c r="E33" s="15" t="s">
        <v>160</v>
      </c>
      <c r="F33" s="15" t="s">
        <v>23</v>
      </c>
      <c r="G33" s="15" t="s">
        <v>33</v>
      </c>
      <c r="H33" s="15"/>
    </row>
    <row r="34" spans="1:8" ht="32" customHeight="1" x14ac:dyDescent="0.2">
      <c r="A34" s="16" t="s">
        <v>157</v>
      </c>
      <c r="B34" s="16" t="s">
        <v>51</v>
      </c>
      <c r="C34" s="16" t="s">
        <v>165</v>
      </c>
      <c r="D34" s="15" t="s">
        <v>189</v>
      </c>
      <c r="E34" s="15" t="s">
        <v>160</v>
      </c>
      <c r="F34" s="15" t="s">
        <v>23</v>
      </c>
      <c r="G34" s="15" t="s">
        <v>33</v>
      </c>
      <c r="H34" s="15"/>
    </row>
    <row r="35" spans="1:8" ht="32" customHeight="1" x14ac:dyDescent="0.2">
      <c r="A35" s="16" t="s">
        <v>157</v>
      </c>
      <c r="B35" s="16" t="s">
        <v>55</v>
      </c>
      <c r="C35" s="16" t="s">
        <v>158</v>
      </c>
      <c r="D35" s="15" t="s">
        <v>190</v>
      </c>
      <c r="E35" s="15" t="s">
        <v>160</v>
      </c>
      <c r="F35" s="15" t="s">
        <v>23</v>
      </c>
      <c r="G35" s="15" t="s">
        <v>33</v>
      </c>
      <c r="H35" s="15"/>
    </row>
    <row r="36" spans="1:8" ht="32" customHeight="1" x14ac:dyDescent="0.2">
      <c r="A36" s="16" t="s">
        <v>157</v>
      </c>
      <c r="B36" s="16" t="s">
        <v>55</v>
      </c>
      <c r="C36" s="16" t="s">
        <v>161</v>
      </c>
      <c r="D36" s="15" t="s">
        <v>191</v>
      </c>
      <c r="E36" s="15" t="s">
        <v>160</v>
      </c>
      <c r="F36" s="15" t="s">
        <v>23</v>
      </c>
      <c r="G36" s="15" t="s">
        <v>33</v>
      </c>
      <c r="H36" s="15"/>
    </row>
    <row r="37" spans="1:8" ht="32" customHeight="1" x14ac:dyDescent="0.2">
      <c r="A37" s="16" t="s">
        <v>157</v>
      </c>
      <c r="B37" s="16" t="s">
        <v>55</v>
      </c>
      <c r="C37" s="16" t="s">
        <v>163</v>
      </c>
      <c r="D37" s="15" t="s">
        <v>192</v>
      </c>
      <c r="E37" s="15" t="s">
        <v>160</v>
      </c>
      <c r="F37" s="15" t="s">
        <v>23</v>
      </c>
      <c r="G37" s="15" t="s">
        <v>33</v>
      </c>
      <c r="H37" s="15"/>
    </row>
    <row r="38" spans="1:8" ht="32" customHeight="1" x14ac:dyDescent="0.2">
      <c r="A38" s="16" t="s">
        <v>157</v>
      </c>
      <c r="B38" s="16" t="s">
        <v>55</v>
      </c>
      <c r="C38" s="16" t="s">
        <v>165</v>
      </c>
      <c r="D38" s="15" t="s">
        <v>193</v>
      </c>
      <c r="E38" s="15" t="s">
        <v>160</v>
      </c>
      <c r="F38" s="15" t="s">
        <v>23</v>
      </c>
      <c r="G38" s="15" t="s">
        <v>33</v>
      </c>
      <c r="H38" s="15"/>
    </row>
    <row r="39" spans="1:8" ht="32" customHeight="1" x14ac:dyDescent="0.2">
      <c r="A39" s="16" t="s">
        <v>157</v>
      </c>
      <c r="B39" s="16" t="s">
        <v>58</v>
      </c>
      <c r="C39" s="16" t="s">
        <v>158</v>
      </c>
      <c r="D39" s="15" t="s">
        <v>194</v>
      </c>
      <c r="E39" s="15" t="s">
        <v>160</v>
      </c>
      <c r="F39" s="15" t="s">
        <v>32</v>
      </c>
      <c r="G39" s="15" t="s">
        <v>33</v>
      </c>
      <c r="H39" s="15"/>
    </row>
    <row r="40" spans="1:8" ht="32" customHeight="1" x14ac:dyDescent="0.2">
      <c r="A40" s="16" t="s">
        <v>157</v>
      </c>
      <c r="B40" s="16" t="s">
        <v>58</v>
      </c>
      <c r="C40" s="16" t="s">
        <v>161</v>
      </c>
      <c r="D40" s="15" t="s">
        <v>195</v>
      </c>
      <c r="E40" s="15" t="s">
        <v>160</v>
      </c>
      <c r="F40" s="15" t="s">
        <v>32</v>
      </c>
      <c r="G40" s="15" t="s">
        <v>33</v>
      </c>
      <c r="H40" s="15"/>
    </row>
    <row r="41" spans="1:8" ht="32" customHeight="1" x14ac:dyDescent="0.2">
      <c r="A41" s="16" t="s">
        <v>157</v>
      </c>
      <c r="B41" s="16" t="s">
        <v>58</v>
      </c>
      <c r="C41" s="16" t="s">
        <v>163</v>
      </c>
      <c r="D41" s="15" t="s">
        <v>196</v>
      </c>
      <c r="E41" s="15" t="s">
        <v>160</v>
      </c>
      <c r="F41" s="15" t="s">
        <v>32</v>
      </c>
      <c r="G41" s="15" t="s">
        <v>33</v>
      </c>
      <c r="H41" s="15"/>
    </row>
    <row r="42" spans="1:8" ht="32" customHeight="1" x14ac:dyDescent="0.2">
      <c r="A42" s="16" t="s">
        <v>157</v>
      </c>
      <c r="B42" s="16" t="s">
        <v>58</v>
      </c>
      <c r="C42" s="16" t="s">
        <v>165</v>
      </c>
      <c r="D42" s="15" t="s">
        <v>197</v>
      </c>
      <c r="E42" s="15" t="s">
        <v>160</v>
      </c>
      <c r="F42" s="15" t="s">
        <v>32</v>
      </c>
      <c r="G42" s="15" t="s">
        <v>33</v>
      </c>
      <c r="H42" s="15"/>
    </row>
    <row r="43" spans="1:8" ht="32" customHeight="1" x14ac:dyDescent="0.2">
      <c r="A43" s="16" t="s">
        <v>157</v>
      </c>
      <c r="B43" s="16" t="s">
        <v>58</v>
      </c>
      <c r="C43" s="16" t="s">
        <v>178</v>
      </c>
      <c r="D43" s="15" t="s">
        <v>166</v>
      </c>
      <c r="E43" s="15" t="s">
        <v>160</v>
      </c>
      <c r="F43" s="15" t="s">
        <v>32</v>
      </c>
      <c r="G43" s="15" t="s">
        <v>33</v>
      </c>
      <c r="H43" s="15"/>
    </row>
    <row r="44" spans="1:8" ht="32" customHeight="1" x14ac:dyDescent="0.2">
      <c r="A44" s="16" t="s">
        <v>157</v>
      </c>
      <c r="B44" s="16" t="s">
        <v>61</v>
      </c>
      <c r="C44" s="16" t="s">
        <v>158</v>
      </c>
      <c r="D44" s="15" t="s">
        <v>198</v>
      </c>
      <c r="E44" s="15" t="s">
        <v>160</v>
      </c>
      <c r="F44" s="15" t="s">
        <v>23</v>
      </c>
      <c r="G44" s="15" t="s">
        <v>33</v>
      </c>
      <c r="H44" s="15"/>
    </row>
    <row r="45" spans="1:8" ht="32" customHeight="1" x14ac:dyDescent="0.2">
      <c r="A45" s="16" t="s">
        <v>157</v>
      </c>
      <c r="B45" s="16" t="s">
        <v>61</v>
      </c>
      <c r="C45" s="16" t="s">
        <v>161</v>
      </c>
      <c r="D45" s="15" t="s">
        <v>199</v>
      </c>
      <c r="E45" s="15" t="s">
        <v>160</v>
      </c>
      <c r="F45" s="15" t="s">
        <v>23</v>
      </c>
      <c r="G45" s="15" t="s">
        <v>33</v>
      </c>
      <c r="H45" s="15"/>
    </row>
    <row r="46" spans="1:8" ht="32" customHeight="1" x14ac:dyDescent="0.2">
      <c r="A46" s="16" t="s">
        <v>157</v>
      </c>
      <c r="B46" s="16" t="s">
        <v>61</v>
      </c>
      <c r="C46" s="16" t="s">
        <v>163</v>
      </c>
      <c r="D46" s="15" t="s">
        <v>200</v>
      </c>
      <c r="E46" s="15" t="s">
        <v>160</v>
      </c>
      <c r="F46" s="15" t="s">
        <v>23</v>
      </c>
      <c r="G46" s="15" t="s">
        <v>33</v>
      </c>
      <c r="H46" s="15"/>
    </row>
    <row r="47" spans="1:8" ht="32" customHeight="1" x14ac:dyDescent="0.2">
      <c r="A47" s="16" t="s">
        <v>157</v>
      </c>
      <c r="B47" s="16" t="s">
        <v>61</v>
      </c>
      <c r="C47" s="16" t="s">
        <v>165</v>
      </c>
      <c r="D47" s="15" t="s">
        <v>201</v>
      </c>
      <c r="E47" s="15" t="s">
        <v>160</v>
      </c>
      <c r="F47" s="15" t="s">
        <v>23</v>
      </c>
      <c r="G47" s="15" t="s">
        <v>33</v>
      </c>
      <c r="H47" s="15"/>
    </row>
    <row r="48" spans="1:8" ht="26" customHeight="1" x14ac:dyDescent="0.2">
      <c r="A48" s="16" t="s">
        <v>202</v>
      </c>
      <c r="B48" s="16" t="s">
        <v>75</v>
      </c>
      <c r="C48" s="16" t="s">
        <v>158</v>
      </c>
      <c r="D48" s="15" t="s">
        <v>203</v>
      </c>
      <c r="E48" s="15" t="s">
        <v>204</v>
      </c>
      <c r="F48" s="15" t="s">
        <v>23</v>
      </c>
      <c r="G48" s="15" t="s">
        <v>33</v>
      </c>
      <c r="H48" s="15"/>
    </row>
    <row r="49" spans="1:8" ht="26" customHeight="1" x14ac:dyDescent="0.2">
      <c r="A49" s="16" t="s">
        <v>202</v>
      </c>
      <c r="B49" s="16" t="s">
        <v>75</v>
      </c>
      <c r="C49" s="16" t="s">
        <v>161</v>
      </c>
      <c r="D49" s="15" t="s">
        <v>205</v>
      </c>
      <c r="E49" s="15" t="s">
        <v>204</v>
      </c>
      <c r="F49" s="15" t="s">
        <v>23</v>
      </c>
      <c r="G49" s="15" t="s">
        <v>33</v>
      </c>
      <c r="H49" s="15"/>
    </row>
    <row r="50" spans="1:8" ht="26" customHeight="1" x14ac:dyDescent="0.2">
      <c r="A50" s="16" t="s">
        <v>202</v>
      </c>
      <c r="B50" s="16" t="s">
        <v>75</v>
      </c>
      <c r="C50" s="16" t="s">
        <v>163</v>
      </c>
      <c r="D50" s="15" t="s">
        <v>206</v>
      </c>
      <c r="E50" s="15" t="s">
        <v>204</v>
      </c>
      <c r="F50" s="15" t="s">
        <v>23</v>
      </c>
      <c r="G50" s="15" t="s">
        <v>33</v>
      </c>
      <c r="H50" s="15"/>
    </row>
    <row r="51" spans="1:8" ht="26" customHeight="1" x14ac:dyDescent="0.2">
      <c r="A51" s="16" t="s">
        <v>202</v>
      </c>
      <c r="B51" s="16" t="s">
        <v>75</v>
      </c>
      <c r="C51" s="16" t="s">
        <v>165</v>
      </c>
      <c r="D51" s="15" t="s">
        <v>207</v>
      </c>
      <c r="E51" s="15" t="s">
        <v>204</v>
      </c>
      <c r="F51" s="15" t="s">
        <v>23</v>
      </c>
      <c r="G51" s="15" t="s">
        <v>33</v>
      </c>
      <c r="H51" s="15"/>
    </row>
    <row r="52" spans="1:8" ht="26" customHeight="1" x14ac:dyDescent="0.2">
      <c r="A52" s="16" t="s">
        <v>202</v>
      </c>
      <c r="B52" s="16" t="s">
        <v>83</v>
      </c>
      <c r="C52" s="16" t="s">
        <v>158</v>
      </c>
      <c r="D52" s="15" t="s">
        <v>208</v>
      </c>
      <c r="E52" s="15" t="s">
        <v>204</v>
      </c>
      <c r="F52" s="15" t="s">
        <v>23</v>
      </c>
      <c r="G52" s="15" t="s">
        <v>33</v>
      </c>
      <c r="H52" s="15"/>
    </row>
    <row r="53" spans="1:8" ht="26" customHeight="1" x14ac:dyDescent="0.2">
      <c r="A53" s="16" t="s">
        <v>202</v>
      </c>
      <c r="B53" s="16" t="s">
        <v>83</v>
      </c>
      <c r="C53" s="16" t="s">
        <v>161</v>
      </c>
      <c r="D53" s="15" t="s">
        <v>209</v>
      </c>
      <c r="E53" s="15" t="s">
        <v>204</v>
      </c>
      <c r="F53" s="15" t="s">
        <v>23</v>
      </c>
      <c r="G53" s="15" t="s">
        <v>33</v>
      </c>
      <c r="H53" s="15"/>
    </row>
    <row r="54" spans="1:8" ht="26" customHeight="1" x14ac:dyDescent="0.2">
      <c r="A54" s="16" t="s">
        <v>202</v>
      </c>
      <c r="B54" s="16" t="s">
        <v>83</v>
      </c>
      <c r="C54" s="16" t="s">
        <v>163</v>
      </c>
      <c r="D54" s="15" t="s">
        <v>210</v>
      </c>
      <c r="E54" s="15" t="s">
        <v>204</v>
      </c>
      <c r="F54" s="15" t="s">
        <v>23</v>
      </c>
      <c r="G54" s="15" t="s">
        <v>33</v>
      </c>
      <c r="H54" s="15"/>
    </row>
    <row r="55" spans="1:8" ht="26" customHeight="1" x14ac:dyDescent="0.2">
      <c r="A55" s="16" t="s">
        <v>202</v>
      </c>
      <c r="B55" s="16" t="s">
        <v>83</v>
      </c>
      <c r="C55" s="16" t="s">
        <v>165</v>
      </c>
      <c r="D55" s="15" t="s">
        <v>211</v>
      </c>
      <c r="E55" s="15" t="s">
        <v>204</v>
      </c>
      <c r="F55" s="15" t="s">
        <v>23</v>
      </c>
      <c r="G55" s="15" t="s">
        <v>33</v>
      </c>
      <c r="H55" s="15"/>
    </row>
    <row r="56" spans="1:8" ht="26" customHeight="1" x14ac:dyDescent="0.2">
      <c r="A56" s="16" t="s">
        <v>202</v>
      </c>
      <c r="B56" s="16" t="s">
        <v>87</v>
      </c>
      <c r="C56" s="16" t="s">
        <v>158</v>
      </c>
      <c r="D56" s="15" t="s">
        <v>212</v>
      </c>
      <c r="E56" s="15" t="s">
        <v>204</v>
      </c>
      <c r="F56" s="15" t="s">
        <v>23</v>
      </c>
      <c r="G56" s="15" t="s">
        <v>33</v>
      </c>
      <c r="H56" s="15"/>
    </row>
    <row r="57" spans="1:8" ht="26" customHeight="1" x14ac:dyDescent="0.2">
      <c r="A57" s="16" t="s">
        <v>202</v>
      </c>
      <c r="B57" s="16" t="s">
        <v>87</v>
      </c>
      <c r="C57" s="16" t="s">
        <v>161</v>
      </c>
      <c r="D57" s="15" t="s">
        <v>213</v>
      </c>
      <c r="E57" s="15" t="s">
        <v>204</v>
      </c>
      <c r="F57" s="15" t="s">
        <v>23</v>
      </c>
      <c r="G57" s="15" t="s">
        <v>33</v>
      </c>
      <c r="H57" s="15"/>
    </row>
    <row r="58" spans="1:8" ht="26" customHeight="1" x14ac:dyDescent="0.2">
      <c r="A58" s="16" t="s">
        <v>202</v>
      </c>
      <c r="B58" s="16" t="s">
        <v>87</v>
      </c>
      <c r="C58" s="16" t="s">
        <v>163</v>
      </c>
      <c r="D58" s="15" t="s">
        <v>214</v>
      </c>
      <c r="E58" s="15" t="s">
        <v>204</v>
      </c>
      <c r="F58" s="15" t="s">
        <v>23</v>
      </c>
      <c r="G58" s="15" t="s">
        <v>33</v>
      </c>
      <c r="H58" s="15"/>
    </row>
    <row r="59" spans="1:8" ht="26" customHeight="1" x14ac:dyDescent="0.2">
      <c r="A59" s="16" t="s">
        <v>202</v>
      </c>
      <c r="B59" s="16" t="s">
        <v>87</v>
      </c>
      <c r="C59" s="16" t="s">
        <v>165</v>
      </c>
      <c r="D59" s="15" t="s">
        <v>215</v>
      </c>
      <c r="E59" s="15" t="s">
        <v>204</v>
      </c>
      <c r="F59" s="15" t="s">
        <v>23</v>
      </c>
      <c r="G59" s="15" t="s">
        <v>33</v>
      </c>
      <c r="H59" s="15"/>
    </row>
    <row r="60" spans="1:8" ht="26" customHeight="1" x14ac:dyDescent="0.2">
      <c r="A60" s="16" t="s">
        <v>202</v>
      </c>
      <c r="B60" s="16" t="s">
        <v>91</v>
      </c>
      <c r="C60" s="16" t="s">
        <v>158</v>
      </c>
      <c r="D60" s="15" t="s">
        <v>216</v>
      </c>
      <c r="E60" s="15" t="s">
        <v>204</v>
      </c>
      <c r="F60" s="15" t="s">
        <v>23</v>
      </c>
      <c r="G60" s="15" t="s">
        <v>33</v>
      </c>
      <c r="H60" s="15"/>
    </row>
    <row r="61" spans="1:8" ht="26" customHeight="1" x14ac:dyDescent="0.2">
      <c r="A61" s="16" t="s">
        <v>202</v>
      </c>
      <c r="B61" s="16" t="s">
        <v>91</v>
      </c>
      <c r="C61" s="16" t="s">
        <v>161</v>
      </c>
      <c r="D61" s="15" t="s">
        <v>217</v>
      </c>
      <c r="E61" s="15" t="s">
        <v>204</v>
      </c>
      <c r="F61" s="15" t="s">
        <v>23</v>
      </c>
      <c r="G61" s="15" t="s">
        <v>33</v>
      </c>
      <c r="H61" s="15"/>
    </row>
    <row r="62" spans="1:8" ht="26" customHeight="1" x14ac:dyDescent="0.2">
      <c r="A62" s="16" t="s">
        <v>202</v>
      </c>
      <c r="B62" s="16" t="s">
        <v>91</v>
      </c>
      <c r="C62" s="16" t="s">
        <v>163</v>
      </c>
      <c r="D62" s="15" t="s">
        <v>218</v>
      </c>
      <c r="E62" s="15" t="s">
        <v>204</v>
      </c>
      <c r="F62" s="15" t="s">
        <v>23</v>
      </c>
      <c r="G62" s="15" t="s">
        <v>33</v>
      </c>
      <c r="H62" s="15"/>
    </row>
    <row r="63" spans="1:8" ht="26" customHeight="1" x14ac:dyDescent="0.2">
      <c r="A63" s="16" t="s">
        <v>202</v>
      </c>
      <c r="B63" s="16" t="s">
        <v>91</v>
      </c>
      <c r="C63" s="16" t="s">
        <v>165</v>
      </c>
      <c r="D63" s="15" t="s">
        <v>219</v>
      </c>
      <c r="E63" s="15" t="s">
        <v>204</v>
      </c>
      <c r="F63" s="15" t="s">
        <v>23</v>
      </c>
      <c r="G63" s="15" t="s">
        <v>33</v>
      </c>
      <c r="H63" s="15"/>
    </row>
    <row r="64" spans="1:8" ht="26" customHeight="1" x14ac:dyDescent="0.2">
      <c r="A64" s="16" t="s">
        <v>202</v>
      </c>
      <c r="B64" s="16" t="s">
        <v>96</v>
      </c>
      <c r="C64" s="16" t="s">
        <v>158</v>
      </c>
      <c r="D64" s="15" t="s">
        <v>220</v>
      </c>
      <c r="E64" s="15" t="s">
        <v>204</v>
      </c>
      <c r="F64" s="15" t="s">
        <v>23</v>
      </c>
      <c r="G64" s="15" t="s">
        <v>33</v>
      </c>
      <c r="H64" s="15"/>
    </row>
    <row r="65" spans="1:8" ht="26" customHeight="1" x14ac:dyDescent="0.2">
      <c r="A65" s="16" t="s">
        <v>202</v>
      </c>
      <c r="B65" s="16" t="s">
        <v>96</v>
      </c>
      <c r="C65" s="16" t="s">
        <v>161</v>
      </c>
      <c r="D65" s="15" t="s">
        <v>221</v>
      </c>
      <c r="E65" s="15" t="s">
        <v>204</v>
      </c>
      <c r="F65" s="15" t="s">
        <v>23</v>
      </c>
      <c r="G65" s="15" t="s">
        <v>33</v>
      </c>
      <c r="H65" s="15"/>
    </row>
    <row r="66" spans="1:8" ht="26" customHeight="1" x14ac:dyDescent="0.2">
      <c r="A66" s="16" t="s">
        <v>202</v>
      </c>
      <c r="B66" s="16" t="s">
        <v>96</v>
      </c>
      <c r="C66" s="16" t="s">
        <v>163</v>
      </c>
      <c r="D66" s="15" t="s">
        <v>222</v>
      </c>
      <c r="E66" s="15" t="s">
        <v>204</v>
      </c>
      <c r="F66" s="15" t="s">
        <v>23</v>
      </c>
      <c r="G66" s="15" t="s">
        <v>33</v>
      </c>
      <c r="H66" s="15"/>
    </row>
    <row r="67" spans="1:8" ht="26" customHeight="1" x14ac:dyDescent="0.2">
      <c r="A67" s="16" t="s">
        <v>202</v>
      </c>
      <c r="B67" s="16" t="s">
        <v>96</v>
      </c>
      <c r="C67" s="16" t="s">
        <v>165</v>
      </c>
      <c r="D67" s="15" t="s">
        <v>223</v>
      </c>
      <c r="E67" s="15" t="s">
        <v>204</v>
      </c>
      <c r="F67" s="15" t="s">
        <v>23</v>
      </c>
      <c r="G67" s="15" t="s">
        <v>33</v>
      </c>
      <c r="H67" s="15"/>
    </row>
    <row r="68" spans="1:8" ht="26" customHeight="1" x14ac:dyDescent="0.2">
      <c r="A68" s="16" t="s">
        <v>202</v>
      </c>
      <c r="B68" s="16" t="s">
        <v>100</v>
      </c>
      <c r="C68" s="16" t="s">
        <v>158</v>
      </c>
      <c r="D68" s="15" t="s">
        <v>224</v>
      </c>
      <c r="E68" s="15" t="s">
        <v>204</v>
      </c>
      <c r="F68" s="15" t="s">
        <v>23</v>
      </c>
      <c r="G68" s="15" t="s">
        <v>33</v>
      </c>
      <c r="H68" s="15"/>
    </row>
    <row r="69" spans="1:8" ht="26" customHeight="1" x14ac:dyDescent="0.2">
      <c r="A69" s="16" t="s">
        <v>202</v>
      </c>
      <c r="B69" s="16" t="s">
        <v>100</v>
      </c>
      <c r="C69" s="16" t="s">
        <v>161</v>
      </c>
      <c r="D69" s="15" t="s">
        <v>225</v>
      </c>
      <c r="E69" s="15" t="s">
        <v>204</v>
      </c>
      <c r="F69" s="15" t="s">
        <v>23</v>
      </c>
      <c r="G69" s="15" t="s">
        <v>33</v>
      </c>
      <c r="H69" s="15"/>
    </row>
    <row r="70" spans="1:8" ht="26" customHeight="1" x14ac:dyDescent="0.2">
      <c r="A70" s="16" t="s">
        <v>202</v>
      </c>
      <c r="B70" s="16" t="s">
        <v>100</v>
      </c>
      <c r="C70" s="16" t="s">
        <v>163</v>
      </c>
      <c r="D70" s="15" t="s">
        <v>226</v>
      </c>
      <c r="E70" s="15" t="s">
        <v>204</v>
      </c>
      <c r="F70" s="15" t="s">
        <v>23</v>
      </c>
      <c r="G70" s="15" t="s">
        <v>33</v>
      </c>
      <c r="H70" s="15"/>
    </row>
    <row r="71" spans="1:8" ht="26" customHeight="1" x14ac:dyDescent="0.2">
      <c r="A71" s="16" t="s">
        <v>202</v>
      </c>
      <c r="B71" s="16" t="s">
        <v>100</v>
      </c>
      <c r="C71" s="16" t="s">
        <v>165</v>
      </c>
      <c r="D71" s="15" t="s">
        <v>227</v>
      </c>
      <c r="E71" s="15" t="s">
        <v>204</v>
      </c>
      <c r="F71" s="15" t="s">
        <v>23</v>
      </c>
      <c r="G71" s="15" t="s">
        <v>33</v>
      </c>
      <c r="H71" s="15"/>
    </row>
    <row r="72" spans="1:8" ht="26" customHeight="1" x14ac:dyDescent="0.2">
      <c r="A72" s="16" t="s">
        <v>202</v>
      </c>
      <c r="B72" s="16" t="s">
        <v>100</v>
      </c>
      <c r="C72" s="16" t="s">
        <v>178</v>
      </c>
      <c r="D72" s="15" t="s">
        <v>228</v>
      </c>
      <c r="E72" s="15" t="s">
        <v>204</v>
      </c>
      <c r="F72" s="15" t="s">
        <v>23</v>
      </c>
      <c r="G72" s="15" t="s">
        <v>33</v>
      </c>
      <c r="H72" s="15"/>
    </row>
    <row r="73" spans="1:8" ht="26" customHeight="1" x14ac:dyDescent="0.2">
      <c r="A73" s="16" t="s">
        <v>202</v>
      </c>
      <c r="B73" s="16" t="s">
        <v>104</v>
      </c>
      <c r="C73" s="16" t="s">
        <v>158</v>
      </c>
      <c r="D73" s="15" t="s">
        <v>229</v>
      </c>
      <c r="E73" s="15" t="s">
        <v>204</v>
      </c>
      <c r="F73" s="15" t="s">
        <v>23</v>
      </c>
      <c r="G73" s="15" t="s">
        <v>33</v>
      </c>
      <c r="H73" s="15"/>
    </row>
    <row r="74" spans="1:8" ht="26" customHeight="1" x14ac:dyDescent="0.2">
      <c r="A74" s="16" t="s">
        <v>202</v>
      </c>
      <c r="B74" s="16" t="s">
        <v>104</v>
      </c>
      <c r="C74" s="16" t="s">
        <v>161</v>
      </c>
      <c r="D74" s="15" t="s">
        <v>230</v>
      </c>
      <c r="E74" s="15" t="s">
        <v>204</v>
      </c>
      <c r="F74" s="15" t="s">
        <v>23</v>
      </c>
      <c r="G74" s="15" t="s">
        <v>33</v>
      </c>
      <c r="H74" s="15"/>
    </row>
    <row r="75" spans="1:8" ht="26" customHeight="1" x14ac:dyDescent="0.2">
      <c r="A75" s="16" t="s">
        <v>202</v>
      </c>
      <c r="B75" s="16" t="s">
        <v>104</v>
      </c>
      <c r="C75" s="16" t="s">
        <v>163</v>
      </c>
      <c r="D75" s="15" t="s">
        <v>231</v>
      </c>
      <c r="E75" s="15" t="s">
        <v>204</v>
      </c>
      <c r="F75" s="15" t="s">
        <v>23</v>
      </c>
      <c r="G75" s="15" t="s">
        <v>33</v>
      </c>
      <c r="H75" s="15"/>
    </row>
    <row r="76" spans="1:8" ht="26" customHeight="1" x14ac:dyDescent="0.2">
      <c r="A76" s="16" t="s">
        <v>202</v>
      </c>
      <c r="B76" s="16" t="s">
        <v>109</v>
      </c>
      <c r="C76" s="16" t="s">
        <v>158</v>
      </c>
      <c r="D76" s="15" t="s">
        <v>232</v>
      </c>
      <c r="E76" s="15" t="s">
        <v>204</v>
      </c>
      <c r="F76" s="15" t="s">
        <v>23</v>
      </c>
      <c r="G76" s="15" t="s">
        <v>33</v>
      </c>
      <c r="H76" s="15"/>
    </row>
    <row r="77" spans="1:8" ht="26" customHeight="1" x14ac:dyDescent="0.2">
      <c r="A77" s="16" t="s">
        <v>202</v>
      </c>
      <c r="B77" s="16" t="s">
        <v>109</v>
      </c>
      <c r="C77" s="16" t="s">
        <v>161</v>
      </c>
      <c r="D77" s="15" t="s">
        <v>233</v>
      </c>
      <c r="E77" s="15" t="s">
        <v>204</v>
      </c>
      <c r="F77" s="15" t="s">
        <v>23</v>
      </c>
      <c r="G77" s="15" t="s">
        <v>33</v>
      </c>
      <c r="H77" s="15"/>
    </row>
    <row r="78" spans="1:8" ht="26" customHeight="1" x14ac:dyDescent="0.2">
      <c r="A78" s="16" t="s">
        <v>202</v>
      </c>
      <c r="B78" s="16" t="s">
        <v>109</v>
      </c>
      <c r="C78" s="16" t="s">
        <v>163</v>
      </c>
      <c r="D78" s="15" t="s">
        <v>234</v>
      </c>
      <c r="E78" s="15" t="s">
        <v>204</v>
      </c>
      <c r="F78" s="15" t="s">
        <v>23</v>
      </c>
      <c r="G78" s="15" t="s">
        <v>33</v>
      </c>
      <c r="H78" s="15"/>
    </row>
    <row r="79" spans="1:8" ht="26" customHeight="1" x14ac:dyDescent="0.2">
      <c r="A79" s="16" t="s">
        <v>202</v>
      </c>
      <c r="B79" s="16" t="s">
        <v>113</v>
      </c>
      <c r="C79" s="16" t="s">
        <v>158</v>
      </c>
      <c r="D79" s="15" t="s">
        <v>235</v>
      </c>
      <c r="E79" s="15" t="s">
        <v>204</v>
      </c>
      <c r="F79" s="15" t="s">
        <v>32</v>
      </c>
      <c r="G79" s="15" t="s">
        <v>33</v>
      </c>
      <c r="H79" s="15"/>
    </row>
    <row r="80" spans="1:8" ht="26" customHeight="1" x14ac:dyDescent="0.2">
      <c r="A80" s="16" t="s">
        <v>202</v>
      </c>
      <c r="B80" s="16" t="s">
        <v>113</v>
      </c>
      <c r="C80" s="16" t="s">
        <v>161</v>
      </c>
      <c r="D80" s="15" t="s">
        <v>236</v>
      </c>
      <c r="E80" s="15" t="s">
        <v>204</v>
      </c>
      <c r="F80" s="15" t="s">
        <v>32</v>
      </c>
      <c r="G80" s="15" t="s">
        <v>33</v>
      </c>
      <c r="H80" s="15"/>
    </row>
    <row r="81" spans="1:8" ht="26" customHeight="1" x14ac:dyDescent="0.2">
      <c r="A81" s="16" t="s">
        <v>202</v>
      </c>
      <c r="B81" s="16" t="s">
        <v>117</v>
      </c>
      <c r="C81" s="16" t="s">
        <v>158</v>
      </c>
      <c r="D81" s="15" t="s">
        <v>237</v>
      </c>
      <c r="E81" s="15" t="s">
        <v>204</v>
      </c>
      <c r="F81" s="15" t="s">
        <v>23</v>
      </c>
      <c r="G81" s="15" t="s">
        <v>33</v>
      </c>
      <c r="H81" s="15"/>
    </row>
    <row r="82" spans="1:8" ht="26" customHeight="1" x14ac:dyDescent="0.2">
      <c r="A82" s="16" t="s">
        <v>202</v>
      </c>
      <c r="B82" s="16" t="s">
        <v>117</v>
      </c>
      <c r="C82" s="16" t="s">
        <v>161</v>
      </c>
      <c r="D82" s="15" t="s">
        <v>238</v>
      </c>
      <c r="E82" s="15" t="s">
        <v>204</v>
      </c>
      <c r="F82" s="15" t="s">
        <v>23</v>
      </c>
      <c r="G82" s="15" t="s">
        <v>33</v>
      </c>
      <c r="H82" s="15"/>
    </row>
    <row r="83" spans="1:8" ht="26" customHeight="1" x14ac:dyDescent="0.2">
      <c r="A83" s="16" t="s">
        <v>202</v>
      </c>
      <c r="B83" s="16" t="s">
        <v>117</v>
      </c>
      <c r="C83" s="16" t="s">
        <v>163</v>
      </c>
      <c r="D83" s="15" t="s">
        <v>239</v>
      </c>
      <c r="E83" s="15" t="s">
        <v>204</v>
      </c>
      <c r="F83" s="15" t="s">
        <v>23</v>
      </c>
      <c r="G83" s="15" t="s">
        <v>33</v>
      </c>
      <c r="H83" s="15"/>
    </row>
    <row r="84" spans="1:8" ht="26" customHeight="1" x14ac:dyDescent="0.2">
      <c r="A84" s="16" t="s">
        <v>202</v>
      </c>
      <c r="B84" s="16" t="s">
        <v>121</v>
      </c>
      <c r="C84" s="16" t="s">
        <v>158</v>
      </c>
      <c r="D84" s="15" t="s">
        <v>240</v>
      </c>
      <c r="E84" s="15" t="s">
        <v>204</v>
      </c>
      <c r="F84" s="15" t="s">
        <v>32</v>
      </c>
      <c r="G84" s="15" t="s">
        <v>33</v>
      </c>
      <c r="H84" s="15"/>
    </row>
    <row r="85" spans="1:8" ht="26" customHeight="1" x14ac:dyDescent="0.2">
      <c r="A85" s="16" t="s">
        <v>202</v>
      </c>
      <c r="B85" s="16" t="s">
        <v>121</v>
      </c>
      <c r="C85" s="16" t="s">
        <v>161</v>
      </c>
      <c r="D85" s="15" t="s">
        <v>241</v>
      </c>
      <c r="E85" s="15" t="s">
        <v>204</v>
      </c>
      <c r="F85" s="15" t="s">
        <v>32</v>
      </c>
      <c r="G85" s="15" t="s">
        <v>33</v>
      </c>
      <c r="H85" s="15"/>
    </row>
    <row r="86" spans="1:8" ht="26" customHeight="1" x14ac:dyDescent="0.2">
      <c r="A86" s="16" t="s">
        <v>202</v>
      </c>
      <c r="B86" s="16" t="s">
        <v>121</v>
      </c>
      <c r="C86" s="16" t="s">
        <v>163</v>
      </c>
      <c r="D86" s="15" t="s">
        <v>242</v>
      </c>
      <c r="E86" s="15" t="s">
        <v>204</v>
      </c>
      <c r="F86" s="15" t="s">
        <v>32</v>
      </c>
      <c r="G86" s="15" t="s">
        <v>33</v>
      </c>
      <c r="H86" s="15"/>
    </row>
    <row r="87" spans="1:8" ht="26" customHeight="1" x14ac:dyDescent="0.2">
      <c r="A87" s="16" t="s">
        <v>202</v>
      </c>
      <c r="B87" s="16" t="s">
        <v>125</v>
      </c>
      <c r="C87" s="16" t="s">
        <v>158</v>
      </c>
      <c r="D87" s="15" t="s">
        <v>243</v>
      </c>
      <c r="E87" s="15" t="s">
        <v>204</v>
      </c>
      <c r="F87" s="15" t="s">
        <v>32</v>
      </c>
      <c r="G87" s="15" t="s">
        <v>33</v>
      </c>
      <c r="H87" s="15"/>
    </row>
    <row r="88" spans="1:8" ht="26" customHeight="1" x14ac:dyDescent="0.2">
      <c r="A88" s="16" t="s">
        <v>202</v>
      </c>
      <c r="B88" s="16" t="s">
        <v>125</v>
      </c>
      <c r="C88" s="16" t="s">
        <v>161</v>
      </c>
      <c r="D88" s="15" t="s">
        <v>244</v>
      </c>
      <c r="E88" s="15" t="s">
        <v>204</v>
      </c>
      <c r="F88" s="15" t="s">
        <v>32</v>
      </c>
      <c r="G88" s="15" t="s">
        <v>33</v>
      </c>
      <c r="H88" s="15"/>
    </row>
    <row r="89" spans="1:8" ht="26" customHeight="1" x14ac:dyDescent="0.2">
      <c r="A89" s="16" t="s">
        <v>202</v>
      </c>
      <c r="B89" s="16" t="s">
        <v>125</v>
      </c>
      <c r="C89" s="16" t="s">
        <v>163</v>
      </c>
      <c r="D89" s="15" t="s">
        <v>245</v>
      </c>
      <c r="E89" s="15" t="s">
        <v>204</v>
      </c>
      <c r="F89" s="15" t="s">
        <v>32</v>
      </c>
      <c r="G89" s="15" t="s">
        <v>33</v>
      </c>
      <c r="H89" s="15"/>
    </row>
    <row r="90" spans="1:8" ht="26" customHeight="1" x14ac:dyDescent="0.2">
      <c r="A90" s="16" t="s">
        <v>202</v>
      </c>
      <c r="B90" s="16" t="s">
        <v>130</v>
      </c>
      <c r="C90" s="16" t="s">
        <v>158</v>
      </c>
      <c r="D90" s="15" t="s">
        <v>246</v>
      </c>
      <c r="E90" s="15" t="s">
        <v>204</v>
      </c>
      <c r="F90" s="15" t="s">
        <v>32</v>
      </c>
      <c r="G90" s="15" t="s">
        <v>33</v>
      </c>
      <c r="H90" s="15"/>
    </row>
    <row r="91" spans="1:8" ht="26" customHeight="1" x14ac:dyDescent="0.2">
      <c r="A91" s="16" t="s">
        <v>202</v>
      </c>
      <c r="B91" s="16" t="s">
        <v>130</v>
      </c>
      <c r="C91" s="16" t="s">
        <v>161</v>
      </c>
      <c r="D91" s="15" t="s">
        <v>247</v>
      </c>
      <c r="E91" s="15" t="s">
        <v>204</v>
      </c>
      <c r="F91" s="15" t="s">
        <v>32</v>
      </c>
      <c r="G91" s="15" t="s">
        <v>33</v>
      </c>
      <c r="H91" s="15"/>
    </row>
    <row r="92" spans="1:8" ht="26" customHeight="1" x14ac:dyDescent="0.2">
      <c r="A92" s="16" t="s">
        <v>202</v>
      </c>
      <c r="B92" s="16" t="s">
        <v>134</v>
      </c>
      <c r="C92" s="16" t="s">
        <v>158</v>
      </c>
      <c r="D92" s="15" t="s">
        <v>248</v>
      </c>
      <c r="E92" s="15" t="s">
        <v>204</v>
      </c>
      <c r="F92" s="15" t="s">
        <v>136</v>
      </c>
      <c r="G92" s="15" t="s">
        <v>33</v>
      </c>
      <c r="H92" s="15"/>
    </row>
    <row r="93" spans="1:8" ht="26" customHeight="1" x14ac:dyDescent="0.2">
      <c r="A93" s="16" t="s">
        <v>202</v>
      </c>
      <c r="B93" s="16" t="s">
        <v>134</v>
      </c>
      <c r="C93" s="16" t="s">
        <v>161</v>
      </c>
      <c r="D93" s="15" t="s">
        <v>249</v>
      </c>
      <c r="E93" s="15" t="s">
        <v>204</v>
      </c>
      <c r="F93" s="15" t="s">
        <v>136</v>
      </c>
      <c r="G93" s="15" t="s">
        <v>33</v>
      </c>
      <c r="H93" s="15"/>
    </row>
    <row r="94" spans="1:8" ht="26" customHeight="1" x14ac:dyDescent="0.2">
      <c r="A94" s="16" t="s">
        <v>202</v>
      </c>
      <c r="B94" s="16" t="s">
        <v>139</v>
      </c>
      <c r="C94" s="16" t="s">
        <v>158</v>
      </c>
      <c r="D94" s="15" t="s">
        <v>250</v>
      </c>
      <c r="E94" s="15" t="s">
        <v>204</v>
      </c>
      <c r="F94" s="15" t="s">
        <v>23</v>
      </c>
      <c r="G94" s="15" t="s">
        <v>33</v>
      </c>
      <c r="H94" s="15"/>
    </row>
    <row r="95" spans="1:8" ht="26" customHeight="1" x14ac:dyDescent="0.2">
      <c r="A95" s="16" t="s">
        <v>202</v>
      </c>
      <c r="B95" s="16" t="s">
        <v>139</v>
      </c>
      <c r="C95" s="16" t="s">
        <v>161</v>
      </c>
      <c r="D95" s="15" t="s">
        <v>251</v>
      </c>
      <c r="E95" s="15" t="s">
        <v>204</v>
      </c>
      <c r="F95" s="15" t="s">
        <v>23</v>
      </c>
      <c r="G95" s="15" t="s">
        <v>33</v>
      </c>
      <c r="H95" s="15"/>
    </row>
    <row r="96" spans="1:8" ht="26" customHeight="1" x14ac:dyDescent="0.2">
      <c r="A96" s="16" t="s">
        <v>202</v>
      </c>
      <c r="B96" s="16" t="s">
        <v>139</v>
      </c>
      <c r="C96" s="16" t="s">
        <v>163</v>
      </c>
      <c r="D96" s="15" t="s">
        <v>252</v>
      </c>
      <c r="E96" s="15" t="s">
        <v>204</v>
      </c>
      <c r="F96" s="15" t="s">
        <v>23</v>
      </c>
      <c r="G96" s="15" t="s">
        <v>33</v>
      </c>
      <c r="H96" s="15"/>
    </row>
    <row r="97" spans="1:8" ht="26" customHeight="1" x14ac:dyDescent="0.2">
      <c r="A97" s="16" t="s">
        <v>202</v>
      </c>
      <c r="B97" s="16" t="s">
        <v>139</v>
      </c>
      <c r="C97" s="16" t="s">
        <v>165</v>
      </c>
      <c r="D97" s="15" t="s">
        <v>253</v>
      </c>
      <c r="E97" s="15" t="s">
        <v>204</v>
      </c>
      <c r="F97" s="15" t="s">
        <v>23</v>
      </c>
      <c r="G97" s="15" t="s">
        <v>33</v>
      </c>
      <c r="H97" s="15"/>
    </row>
    <row r="98" spans="1:8" ht="26" customHeight="1" x14ac:dyDescent="0.2">
      <c r="A98" s="16" t="s">
        <v>202</v>
      </c>
      <c r="B98" s="16" t="s">
        <v>143</v>
      </c>
      <c r="C98" s="16" t="s">
        <v>158</v>
      </c>
      <c r="D98" s="15" t="s">
        <v>254</v>
      </c>
      <c r="E98" s="15" t="s">
        <v>204</v>
      </c>
      <c r="F98" s="15" t="s">
        <v>23</v>
      </c>
      <c r="G98" s="15" t="s">
        <v>33</v>
      </c>
      <c r="H98" s="15"/>
    </row>
    <row r="99" spans="1:8" ht="26" customHeight="1" x14ac:dyDescent="0.2">
      <c r="A99" s="16" t="s">
        <v>202</v>
      </c>
      <c r="B99" s="16" t="s">
        <v>143</v>
      </c>
      <c r="C99" s="16" t="s">
        <v>161</v>
      </c>
      <c r="D99" s="15" t="s">
        <v>255</v>
      </c>
      <c r="E99" s="15" t="s">
        <v>204</v>
      </c>
      <c r="F99" s="15" t="s">
        <v>23</v>
      </c>
      <c r="G99" s="15" t="s">
        <v>33</v>
      </c>
      <c r="H99" s="15"/>
    </row>
    <row r="100" spans="1:8" ht="26" customHeight="1" x14ac:dyDescent="0.2">
      <c r="A100" s="16" t="s">
        <v>202</v>
      </c>
      <c r="B100" s="16" t="s">
        <v>143</v>
      </c>
      <c r="C100" s="16" t="s">
        <v>163</v>
      </c>
      <c r="D100" s="15" t="s">
        <v>256</v>
      </c>
      <c r="E100" s="15" t="s">
        <v>204</v>
      </c>
      <c r="F100" s="15" t="s">
        <v>23</v>
      </c>
      <c r="G100" s="15" t="s">
        <v>33</v>
      </c>
      <c r="H100" s="15"/>
    </row>
    <row r="101" spans="1:8" ht="26" customHeight="1" x14ac:dyDescent="0.2">
      <c r="A101" s="8"/>
      <c r="B101" s="8"/>
      <c r="C101" s="8"/>
      <c r="D101" s="9"/>
      <c r="E101" s="9"/>
      <c r="F101" s="10"/>
      <c r="G101" s="10"/>
      <c r="H101" s="9"/>
    </row>
  </sheetData>
  <autoFilter ref="A4:H100" xr:uid="{00000000-0009-0000-0000-000002000000}"/>
  <mergeCells count="2">
    <mergeCell ref="A2:H2"/>
    <mergeCell ref="A1:H1"/>
  </mergeCells>
  <conditionalFormatting sqref="G5:G101">
    <cfRule type="cellIs" dxfId="7" priority="1" stopIfTrue="1" operator="equal">
      <formula>"CUMPLE"</formula>
    </cfRule>
    <cfRule type="cellIs" dxfId="6" priority="2" stopIfTrue="1" operator="equal">
      <formula>"NO CUMPLE"</formula>
    </cfRule>
    <cfRule type="cellIs" dxfId="5" priority="3" stopIfTrue="1" operator="equal">
      <formula>"PARCIAL"</formula>
    </cfRule>
    <cfRule type="cellIs" dxfId="4" priority="4" stopIfTrue="1" operator="equal">
      <formula>"PENDIENTE"</formula>
    </cfRule>
  </conditionalFormatting>
  <dataValidations count="1">
    <dataValidation type="list" allowBlank="1" sqref="G5:G101" xr:uid="{00000000-0002-0000-0200-000000000000}">
      <formula1>"CUMPLE,NO CUMPLE,PARCIAL,PENDIENTE"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2"/>
  <sheetViews>
    <sheetView workbookViewId="0"/>
  </sheetViews>
  <sheetFormatPr baseColWidth="10" defaultColWidth="8.83203125" defaultRowHeight="15" x14ac:dyDescent="0.2"/>
  <cols>
    <col min="1" max="1" width="12" customWidth="1"/>
    <col min="2" max="2" width="28" customWidth="1"/>
    <col min="3" max="3" width="25" customWidth="1"/>
    <col min="4" max="4" width="38" customWidth="1"/>
    <col min="5" max="5" width="28" customWidth="1"/>
    <col min="6" max="6" width="38" customWidth="1"/>
    <col min="7" max="7" width="25" customWidth="1"/>
    <col min="8" max="8" width="18" customWidth="1"/>
  </cols>
  <sheetData>
    <row r="1" spans="1:8" ht="25" customHeight="1" x14ac:dyDescent="0.25">
      <c r="A1" s="19" t="s">
        <v>257</v>
      </c>
      <c r="B1" s="18"/>
      <c r="C1" s="18"/>
      <c r="D1" s="18"/>
      <c r="E1" s="18"/>
      <c r="F1" s="18"/>
      <c r="G1" s="18"/>
      <c r="H1" s="18"/>
    </row>
    <row r="2" spans="1:8" ht="18" customHeight="1" x14ac:dyDescent="0.2">
      <c r="A2" s="20" t="s">
        <v>258</v>
      </c>
      <c r="B2" s="18"/>
      <c r="C2" s="18"/>
      <c r="D2" s="18"/>
      <c r="E2" s="18"/>
      <c r="F2" s="18"/>
      <c r="G2" s="18"/>
      <c r="H2" s="18"/>
    </row>
    <row r="4" spans="1:8" ht="28" customHeight="1" x14ac:dyDescent="0.2">
      <c r="A4" s="4" t="s">
        <v>259</v>
      </c>
      <c r="B4" s="4" t="s">
        <v>260</v>
      </c>
      <c r="C4" s="4" t="s">
        <v>261</v>
      </c>
      <c r="D4" s="4" t="s">
        <v>262</v>
      </c>
      <c r="E4" s="4" t="s">
        <v>263</v>
      </c>
      <c r="F4" s="4" t="s">
        <v>264</v>
      </c>
      <c r="G4" s="4" t="s">
        <v>265</v>
      </c>
      <c r="H4" s="4" t="s">
        <v>266</v>
      </c>
    </row>
    <row r="5" spans="1:8" ht="34" customHeight="1" x14ac:dyDescent="0.2">
      <c r="A5" s="8" t="s">
        <v>267</v>
      </c>
      <c r="B5" s="9" t="s">
        <v>268</v>
      </c>
      <c r="C5" s="9" t="s">
        <v>269</v>
      </c>
      <c r="D5" s="9" t="s">
        <v>270</v>
      </c>
      <c r="E5" s="9" t="s">
        <v>271</v>
      </c>
      <c r="F5" s="9" t="s">
        <v>272</v>
      </c>
      <c r="G5" s="10" t="s">
        <v>33</v>
      </c>
      <c r="H5" s="10" t="s">
        <v>33</v>
      </c>
    </row>
    <row r="6" spans="1:8" ht="34" customHeight="1" x14ac:dyDescent="0.2">
      <c r="A6" s="5" t="s">
        <v>273</v>
      </c>
      <c r="B6" s="6" t="s">
        <v>274</v>
      </c>
      <c r="C6" s="6" t="s">
        <v>275</v>
      </c>
      <c r="D6" s="6" t="s">
        <v>276</v>
      </c>
      <c r="E6" s="6" t="s">
        <v>277</v>
      </c>
      <c r="F6" s="6" t="s">
        <v>278</v>
      </c>
      <c r="G6" s="7" t="s">
        <v>33</v>
      </c>
      <c r="H6" s="7" t="s">
        <v>33</v>
      </c>
    </row>
    <row r="7" spans="1:8" ht="34" customHeight="1" x14ac:dyDescent="0.2">
      <c r="A7" s="8" t="s">
        <v>279</v>
      </c>
      <c r="B7" s="9" t="s">
        <v>280</v>
      </c>
      <c r="C7" s="9" t="s">
        <v>281</v>
      </c>
      <c r="D7" s="9" t="s">
        <v>282</v>
      </c>
      <c r="E7" s="9" t="s">
        <v>283</v>
      </c>
      <c r="F7" s="9" t="s">
        <v>284</v>
      </c>
      <c r="G7" s="10" t="s">
        <v>33</v>
      </c>
      <c r="H7" s="10" t="s">
        <v>33</v>
      </c>
    </row>
    <row r="8" spans="1:8" ht="34" customHeight="1" x14ac:dyDescent="0.2">
      <c r="A8" s="5" t="s">
        <v>285</v>
      </c>
      <c r="B8" s="6" t="s">
        <v>286</v>
      </c>
      <c r="C8" s="6" t="s">
        <v>287</v>
      </c>
      <c r="D8" s="6" t="s">
        <v>288</v>
      </c>
      <c r="E8" s="6" t="s">
        <v>289</v>
      </c>
      <c r="F8" s="6" t="s">
        <v>290</v>
      </c>
      <c r="G8" s="7" t="s">
        <v>33</v>
      </c>
      <c r="H8" s="7" t="s">
        <v>33</v>
      </c>
    </row>
    <row r="9" spans="1:8" ht="34" customHeight="1" x14ac:dyDescent="0.2">
      <c r="A9" s="8" t="s">
        <v>291</v>
      </c>
      <c r="B9" s="9" t="s">
        <v>292</v>
      </c>
      <c r="C9" s="9" t="s">
        <v>293</v>
      </c>
      <c r="D9" s="9" t="s">
        <v>294</v>
      </c>
      <c r="E9" s="9" t="s">
        <v>295</v>
      </c>
      <c r="F9" s="9" t="s">
        <v>296</v>
      </c>
      <c r="G9" s="10" t="s">
        <v>33</v>
      </c>
      <c r="H9" s="10" t="s">
        <v>33</v>
      </c>
    </row>
    <row r="10" spans="1:8" ht="34" customHeight="1" x14ac:dyDescent="0.2">
      <c r="A10" s="5" t="s">
        <v>297</v>
      </c>
      <c r="B10" s="6" t="s">
        <v>298</v>
      </c>
      <c r="C10" s="6" t="s">
        <v>299</v>
      </c>
      <c r="D10" s="6" t="s">
        <v>300</v>
      </c>
      <c r="E10" s="6" t="s">
        <v>301</v>
      </c>
      <c r="F10" s="6" t="s">
        <v>302</v>
      </c>
      <c r="G10" s="7" t="s">
        <v>33</v>
      </c>
      <c r="H10" s="7" t="s">
        <v>33</v>
      </c>
    </row>
    <row r="11" spans="1:8" ht="34" customHeight="1" x14ac:dyDescent="0.2">
      <c r="A11" s="8" t="s">
        <v>303</v>
      </c>
      <c r="B11" s="9" t="s">
        <v>304</v>
      </c>
      <c r="C11" s="9" t="s">
        <v>305</v>
      </c>
      <c r="D11" s="9" t="s">
        <v>306</v>
      </c>
      <c r="E11" s="9" t="s">
        <v>307</v>
      </c>
      <c r="F11" s="9" t="s">
        <v>308</v>
      </c>
      <c r="G11" s="10" t="s">
        <v>33</v>
      </c>
      <c r="H11" s="10" t="s">
        <v>33</v>
      </c>
    </row>
    <row r="12" spans="1:8" ht="34" customHeight="1" x14ac:dyDescent="0.2">
      <c r="A12" s="5" t="s">
        <v>309</v>
      </c>
      <c r="B12" s="6" t="s">
        <v>310</v>
      </c>
      <c r="C12" s="6" t="s">
        <v>311</v>
      </c>
      <c r="D12" s="6" t="s">
        <v>312</v>
      </c>
      <c r="E12" s="6" t="s">
        <v>313</v>
      </c>
      <c r="F12" s="6" t="s">
        <v>314</v>
      </c>
      <c r="G12" s="7" t="s">
        <v>33</v>
      </c>
      <c r="H12" s="7" t="s">
        <v>33</v>
      </c>
    </row>
  </sheetData>
  <mergeCells count="2">
    <mergeCell ref="A2:H2"/>
    <mergeCell ref="A1:H1"/>
  </mergeCells>
  <conditionalFormatting sqref="H5:H12">
    <cfRule type="cellIs" dxfId="3" priority="1" stopIfTrue="1" operator="equal">
      <formula>"APROBADO"</formula>
    </cfRule>
    <cfRule type="cellIs" dxfId="2" priority="2" stopIfTrue="1" operator="equal">
      <formula>"RECHAZADO"</formula>
    </cfRule>
    <cfRule type="cellIs" dxfId="1" priority="3" stopIfTrue="1" operator="equal">
      <formula>"EN REVISIÓN"</formula>
    </cfRule>
    <cfRule type="cellIs" dxfId="0" priority="4" stopIfTrue="1" operator="equal">
      <formula>"PENDIENTE"</formula>
    </cfRule>
  </conditionalFormatting>
  <dataValidations count="1">
    <dataValidation type="list" allowBlank="1" sqref="H5:H12" xr:uid="{00000000-0002-0000-0300-000000000000}">
      <formula1>"PASA,FALLA,BLOQUEADO,PENDIENTE"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8"/>
  <sheetViews>
    <sheetView workbookViewId="0"/>
  </sheetViews>
  <sheetFormatPr baseColWidth="10" defaultColWidth="8.83203125" defaultRowHeight="15" x14ac:dyDescent="0.2"/>
  <cols>
    <col min="1" max="1" width="12" customWidth="1"/>
    <col min="2" max="2" width="16" customWidth="1"/>
    <col min="3" max="3" width="42" customWidth="1"/>
    <col min="4" max="4" width="16" customWidth="1"/>
    <col min="5" max="5" width="20" customWidth="1"/>
    <col min="6" max="6" width="16" customWidth="1"/>
    <col min="7" max="7" width="20" customWidth="1"/>
    <col min="8" max="9" width="15" customWidth="1"/>
    <col min="10" max="10" width="28" customWidth="1"/>
  </cols>
  <sheetData>
    <row r="1" spans="1:10" ht="25" customHeight="1" x14ac:dyDescent="0.25">
      <c r="A1" s="19" t="s">
        <v>315</v>
      </c>
      <c r="B1" s="18"/>
      <c r="C1" s="18"/>
      <c r="D1" s="18"/>
      <c r="E1" s="18"/>
      <c r="F1" s="18"/>
      <c r="G1" s="18"/>
      <c r="H1" s="18"/>
      <c r="I1" s="18"/>
      <c r="J1" s="18"/>
    </row>
    <row r="2" spans="1:10" ht="18" customHeight="1" x14ac:dyDescent="0.2">
      <c r="A2" s="20" t="s">
        <v>316</v>
      </c>
      <c r="B2" s="18"/>
      <c r="C2" s="18"/>
      <c r="D2" s="18"/>
      <c r="E2" s="18"/>
      <c r="F2" s="18"/>
      <c r="G2" s="18"/>
      <c r="H2" s="18"/>
      <c r="I2" s="18"/>
      <c r="J2" s="18"/>
    </row>
    <row r="4" spans="1:10" ht="28" customHeight="1" x14ac:dyDescent="0.2">
      <c r="A4" s="4" t="s">
        <v>317</v>
      </c>
      <c r="B4" s="4" t="s">
        <v>318</v>
      </c>
      <c r="C4" s="4" t="s">
        <v>319</v>
      </c>
      <c r="D4" s="4" t="s">
        <v>320</v>
      </c>
      <c r="E4" s="4" t="s">
        <v>321</v>
      </c>
      <c r="F4" s="4" t="s">
        <v>322</v>
      </c>
      <c r="G4" s="4" t="s">
        <v>266</v>
      </c>
      <c r="H4" s="4" t="s">
        <v>323</v>
      </c>
      <c r="I4" s="4" t="s">
        <v>324</v>
      </c>
      <c r="J4" s="4" t="s">
        <v>325</v>
      </c>
    </row>
    <row r="5" spans="1:10" ht="25" customHeight="1" x14ac:dyDescent="0.2">
      <c r="A5" s="8" t="s">
        <v>326</v>
      </c>
      <c r="B5" s="10" t="s">
        <v>36</v>
      </c>
      <c r="C5" s="9" t="s">
        <v>327</v>
      </c>
      <c r="D5" s="10" t="s">
        <v>328</v>
      </c>
      <c r="E5" s="10" t="s">
        <v>32</v>
      </c>
      <c r="F5" s="10" t="s">
        <v>21</v>
      </c>
      <c r="G5" s="10" t="s">
        <v>329</v>
      </c>
      <c r="H5" s="10" t="s">
        <v>25</v>
      </c>
      <c r="I5" s="10"/>
      <c r="J5" s="9" t="s">
        <v>330</v>
      </c>
    </row>
    <row r="6" spans="1:10" ht="25" customHeight="1" x14ac:dyDescent="0.2">
      <c r="A6" s="5" t="s">
        <v>331</v>
      </c>
      <c r="B6" s="7" t="s">
        <v>47</v>
      </c>
      <c r="C6" s="6" t="s">
        <v>332</v>
      </c>
      <c r="D6" s="7" t="s">
        <v>333</v>
      </c>
      <c r="E6" s="7" t="s">
        <v>23</v>
      </c>
      <c r="F6" s="7" t="s">
        <v>21</v>
      </c>
      <c r="G6" s="7" t="s">
        <v>329</v>
      </c>
      <c r="H6" s="7" t="s">
        <v>25</v>
      </c>
      <c r="I6" s="7"/>
      <c r="J6" s="6" t="s">
        <v>334</v>
      </c>
    </row>
    <row r="7" spans="1:10" ht="25" customHeight="1" x14ac:dyDescent="0.2">
      <c r="A7" s="8" t="s">
        <v>335</v>
      </c>
      <c r="B7" s="10" t="s">
        <v>100</v>
      </c>
      <c r="C7" s="9" t="s">
        <v>336</v>
      </c>
      <c r="D7" s="10" t="s">
        <v>337</v>
      </c>
      <c r="E7" s="10" t="s">
        <v>23</v>
      </c>
      <c r="F7" s="10" t="s">
        <v>63</v>
      </c>
      <c r="G7" s="10" t="s">
        <v>338</v>
      </c>
      <c r="H7" s="10" t="s">
        <v>25</v>
      </c>
      <c r="I7" s="10"/>
      <c r="J7" s="9" t="s">
        <v>339</v>
      </c>
    </row>
    <row r="8" spans="1:10" ht="25" customHeight="1" x14ac:dyDescent="0.2">
      <c r="A8" s="5" t="s">
        <v>340</v>
      </c>
      <c r="B8" s="7" t="s">
        <v>43</v>
      </c>
      <c r="C8" s="6" t="s">
        <v>341</v>
      </c>
      <c r="D8" s="7" t="s">
        <v>342</v>
      </c>
      <c r="E8" s="7" t="s">
        <v>136</v>
      </c>
      <c r="F8" s="7" t="s">
        <v>30</v>
      </c>
      <c r="G8" s="7" t="s">
        <v>329</v>
      </c>
      <c r="H8" s="7" t="s">
        <v>25</v>
      </c>
      <c r="I8" s="7"/>
      <c r="J8" s="6" t="s">
        <v>343</v>
      </c>
    </row>
  </sheetData>
  <mergeCells count="2">
    <mergeCell ref="A1:J1"/>
    <mergeCell ref="A2:J2"/>
  </mergeCells>
  <dataValidations count="2">
    <dataValidation type="list" allowBlank="1" sqref="G5:G20" xr:uid="{00000000-0002-0000-0400-000000000000}">
      <formula1>"ABIERTO,EN CORRECCIÓN,RESUELTO,CERRADO"</formula1>
    </dataValidation>
    <dataValidation type="list" allowBlank="1" sqref="E5:E20" xr:uid="{00000000-0002-0000-0400-000001000000}">
      <formula1>"Bloqueante,Alta,Media,Baja"</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5</vt:i4>
      </vt:variant>
    </vt:vector>
  </HeadingPairs>
  <TitlesOfParts>
    <vt:vector size="5" baseType="lpstr">
      <vt:lpstr>1_Gestion_Segunda_Entrega</vt:lpstr>
      <vt:lpstr>2_Construccion_Aplicacion</vt:lpstr>
      <vt:lpstr>3_Checklist_Criterios_DoD</vt:lpstr>
      <vt:lpstr>4_Pruebas_Tecnicas_Tablero</vt:lpstr>
      <vt:lpstr>5_Registro_Defectos_Bugs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Maria Camila Tamayo Cuesta</cp:lastModifiedBy>
  <dcterms:created xsi:type="dcterms:W3CDTF">2026-10-28T23:15:08Z</dcterms:created>
  <dcterms:modified xsi:type="dcterms:W3CDTF">2026-10-29T02:09:34Z</dcterms:modified>
</cp:coreProperties>
</file>