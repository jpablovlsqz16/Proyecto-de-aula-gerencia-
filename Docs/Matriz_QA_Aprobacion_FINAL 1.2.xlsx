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500" windowWidth="28800" windowHeight="15800" tabRatio="600" firstSheet="0" activeTab="2" autoFilterDateGrouping="1"/>
  </bookViews>
  <sheets>
    <sheet name="1_Gestion_Segunda_Entrega" sheetId="1" state="visible" r:id="rId1"/>
    <sheet name="2_Construccion_Aplicacion" sheetId="2" state="visible" r:id="rId2"/>
    <sheet name="3_Checklist_Criterios_DoD" sheetId="3" state="visible" r:id="rId3"/>
    <sheet name="4_Pruebas_Tecnicas_Tablero" sheetId="4" state="visible" r:id="rId4"/>
    <sheet name="5_Registro_Defectos_Bugs" sheetId="5" state="visible" r:id="rId5"/>
  </sheets>
  <definedNames>
    <definedName name="_xlnm._FilterDatabase" localSheetId="2" hidden="1">'3_Checklist_Criterios_DoD'!$A$4:$H$100</definedName>
  </definedNames>
  <calcPr calcId="191029" fullCalcOnLoad="1"/>
</workbook>
</file>

<file path=xl/styles.xml><?xml version="1.0" encoding="utf-8"?>
<styleSheet xmlns="http://schemas.openxmlformats.org/spreadsheetml/2006/main">
  <numFmts count="2">
    <numFmt numFmtId="164" formatCode="0.0%"/>
    <numFmt numFmtId="165" formatCode="yyyy\-mm\-dd"/>
  </numFmts>
  <fonts count="10">
    <font>
      <name val="Calibri"/>
      <family val="2"/>
      <color theme="1"/>
      <sz val="11"/>
      <scheme val="minor"/>
    </font>
    <font>
      <name val="Calibri"/>
      <family val="2"/>
      <b val="1"/>
      <color rgb="FF1F4E79"/>
      <sz val="15"/>
    </font>
    <font>
      <name val="Calibri"/>
      <family val="2"/>
      <b val="1"/>
      <color rgb="FF2E75B6"/>
      <sz val="12"/>
    </font>
    <font>
      <name val="Calibri"/>
      <family val="2"/>
      <i val="1"/>
      <color rgb="FF595959"/>
      <sz val="11"/>
    </font>
    <font>
      <name val="Calibri"/>
      <family val="2"/>
      <b val="1"/>
      <sz val="10"/>
    </font>
    <font>
      <name val="Calibri"/>
      <family val="2"/>
      <b val="1"/>
      <color rgb="FF1F4E79"/>
      <sz val="11"/>
    </font>
    <font>
      <name val="Calibri"/>
      <family val="2"/>
      <b val="1"/>
      <color rgb="FFFFFFFF"/>
      <sz val="11"/>
    </font>
    <font>
      <name val="Consolas"/>
      <family val="2"/>
      <b val="1"/>
      <color rgb="FF1F4E79"/>
      <sz val="9"/>
    </font>
    <font>
      <name val="Calibri"/>
      <family val="2"/>
      <sz val="10"/>
    </font>
    <font>
      <name val="Calibri"/>
      <b val="1"/>
      <color rgb="00155724"/>
      <sz val="11"/>
    </font>
  </fonts>
  <fills count="7">
    <fill>
      <patternFill/>
    </fill>
    <fill>
      <patternFill patternType="gray125"/>
    </fill>
    <fill>
      <patternFill patternType="solid">
        <fgColor rgb="FFD9E1F2"/>
        <bgColor rgb="FFD9E1F2"/>
      </patternFill>
    </fill>
    <fill>
      <patternFill patternType="solid">
        <fgColor rgb="FF1F4E79"/>
        <bgColor rgb="FF1F4E79"/>
      </patternFill>
    </fill>
    <fill>
      <patternFill patternType="solid">
        <fgColor rgb="FFFFFFFF"/>
        <bgColor rgb="FFFFFFFF"/>
      </patternFill>
    </fill>
    <fill>
      <patternFill patternType="solid">
        <fgColor rgb="FFF9FBFD"/>
        <bgColor rgb="FFF9FBFD"/>
      </patternFill>
    </fill>
    <fill>
      <patternFill patternType="solid">
        <fgColor rgb="00D4EDDA"/>
        <bgColor rgb="00D4EDDA"/>
      </patternFill>
    </fill>
  </fills>
  <borders count="2">
    <border>
      <left/>
      <right/>
      <top/>
      <bottom/>
      <diagonal/>
    </border>
    <border>
      <left style="thin">
        <color rgb="FFD0D7DE"/>
      </left>
      <right style="thin">
        <color rgb="FFD0D7DE"/>
      </right>
      <top style="thin">
        <color rgb="FFD0D7DE"/>
      </top>
      <bottom style="thin">
        <color rgb="FFD0D7DE"/>
      </bottom>
      <diagonal/>
    </border>
  </borders>
  <cellStyleXfs count="1">
    <xf numFmtId="0" fontId="0" fillId="0" borderId="0"/>
  </cellStyleXfs>
  <cellXfs count="24">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164" fontId="5" fillId="0" borderId="1" applyAlignment="1" pivotButton="0" quotePrefix="0" xfId="0">
      <alignment horizontal="center" vertical="center" wrapText="1"/>
    </xf>
    <xf numFmtId="0" fontId="6" fillId="3" borderId="1" applyAlignment="1" pivotButton="0" quotePrefix="0" xfId="0">
      <alignment horizontal="center" vertical="center" wrapText="1"/>
    </xf>
    <xf numFmtId="0" fontId="7" fillId="4" borderId="1" applyAlignment="1" pivotButton="0" quotePrefix="0" xfId="0">
      <alignment horizontal="center" vertical="center" wrapText="1"/>
    </xf>
    <xf numFmtId="0" fontId="8" fillId="4" borderId="1" applyAlignment="1" pivotButton="0" quotePrefix="0" xfId="0">
      <alignment horizontal="left" vertical="center" wrapText="1"/>
    </xf>
    <xf numFmtId="0" fontId="8"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8" fillId="5" borderId="1" applyAlignment="1" pivotButton="0" quotePrefix="0" xfId="0">
      <alignment horizontal="left" vertical="center" wrapText="1"/>
    </xf>
    <xf numFmtId="0" fontId="8" fillId="5" borderId="1" applyAlignment="1" pivotButton="0" quotePrefix="0" xfId="0">
      <alignment horizontal="center" vertical="center" wrapText="1"/>
    </xf>
    <xf numFmtId="9" fontId="5" fillId="0" borderId="1" applyAlignment="1" pivotButton="0" quotePrefix="0" xfId="0">
      <alignment horizontal="center" vertical="center" wrapText="1"/>
    </xf>
    <xf numFmtId="165" fontId="8" fillId="4" borderId="1" applyAlignment="1" pivotButton="0" quotePrefix="0" xfId="0">
      <alignment horizontal="center" vertical="center" wrapText="1"/>
    </xf>
    <xf numFmtId="0" fontId="8" fillId="4" borderId="1" applyAlignment="1" pivotButton="0" quotePrefix="0" xfId="0">
      <alignment vertical="top" wrapText="1"/>
    </xf>
    <xf numFmtId="165" fontId="8" fillId="5" borderId="1" applyAlignment="1" pivotButton="0" quotePrefix="0" xfId="0">
      <alignment horizontal="center" vertical="center" wrapText="1"/>
    </xf>
    <xf numFmtId="0" fontId="8" fillId="5" borderId="1" applyAlignment="1" pivotButton="0" quotePrefix="0" xfId="0">
      <alignment vertical="top" wrapText="1"/>
    </xf>
    <xf numFmtId="0" fontId="7" fillId="5" borderId="1" applyAlignment="1" pivotButton="0" quotePrefix="0" xfId="0">
      <alignment vertical="top" wrapText="1"/>
    </xf>
    <xf numFmtId="0" fontId="2" fillId="0" borderId="0" pivotButton="0" quotePrefix="0" xfId="0"/>
    <xf numFmtId="0" fontId="0" fillId="0" borderId="0" pivotButton="0" quotePrefix="0" xfId="0"/>
    <xf numFmtId="0" fontId="1" fillId="0" borderId="0" pivotButton="0" quotePrefix="0" xfId="0"/>
    <xf numFmtId="0" fontId="3" fillId="0" borderId="0" pivotButton="0" quotePrefix="0" xfId="0"/>
    <xf numFmtId="0" fontId="9" fillId="6" borderId="1" applyAlignment="1" pivotButton="0" quotePrefix="0" xfId="0">
      <alignment horizontal="center" vertical="center"/>
    </xf>
    <xf numFmtId="0" fontId="8" fillId="4" borderId="1" applyAlignment="1" pivotButton="0" quotePrefix="0" xfId="0">
      <alignment horizontal="center" vertical="center"/>
    </xf>
    <xf numFmtId="0" fontId="8" fillId="5" borderId="1" applyAlignment="1" pivotButton="0" quotePrefix="0" xfId="0">
      <alignment horizontal="center" vertical="center"/>
    </xf>
  </cellXfs>
  <cellStyles count="1">
    <cellStyle name="Normal" xfId="0" builtinId="0"/>
  </cellStyles>
  <dxfs count="16">
    <dxf>
      <font>
        <name val="Calibri"/>
        <color rgb="FF595959"/>
        <sz val="10"/>
      </font>
      <fill>
        <patternFill patternType="solid">
          <fgColor rgb="FFEDEDED"/>
          <bgColor rgb="FFEDEDED"/>
        </patternFill>
      </fill>
    </dxf>
    <dxf>
      <font>
        <name val="Calibri"/>
        <b val="1"/>
        <color rgb="FF9C6500"/>
        <sz val="10"/>
      </font>
      <fill>
        <patternFill patternType="solid">
          <fgColor rgb="FFFFEB9C"/>
          <bgColor rgb="FFFFEB9C"/>
        </patternFill>
      </fill>
    </dxf>
    <dxf>
      <font>
        <name val="Calibri"/>
        <b val="1"/>
        <color rgb="FF9C0006"/>
        <sz val="10"/>
      </font>
      <fill>
        <patternFill patternType="solid">
          <fgColor rgb="FFFFC7CE"/>
          <bgColor rgb="FFFFC7CE"/>
        </patternFill>
      </fill>
    </dxf>
    <dxf>
      <font>
        <name val="Calibri"/>
        <b val="1"/>
        <color rgb="FF006100"/>
        <sz val="10"/>
      </font>
      <fill>
        <patternFill patternType="solid">
          <fgColor rgb="FFC6EFCE"/>
          <bgColor rgb="FFC6EFCE"/>
        </patternFill>
      </fill>
    </dxf>
    <dxf>
      <font>
        <name val="Calibri"/>
        <color rgb="FF595959"/>
        <sz val="10"/>
      </font>
      <fill>
        <patternFill patternType="solid">
          <fgColor rgb="FFEDEDED"/>
          <bgColor rgb="FFEDEDED"/>
        </patternFill>
      </fill>
    </dxf>
    <dxf>
      <font>
        <name val="Calibri"/>
        <b val="1"/>
        <color rgb="FF9C6500"/>
        <sz val="10"/>
      </font>
      <fill>
        <patternFill patternType="solid">
          <fgColor rgb="FFFFEB9C"/>
          <bgColor rgb="FFFFEB9C"/>
        </patternFill>
      </fill>
    </dxf>
    <dxf>
      <font>
        <name val="Calibri"/>
        <b val="1"/>
        <color rgb="FF9C0006"/>
        <sz val="10"/>
      </font>
      <fill>
        <patternFill patternType="solid">
          <fgColor rgb="FFFFC7CE"/>
          <bgColor rgb="FFFFC7CE"/>
        </patternFill>
      </fill>
    </dxf>
    <dxf>
      <font>
        <name val="Calibri"/>
        <b val="1"/>
        <color rgb="FF006100"/>
        <sz val="10"/>
      </font>
      <fill>
        <patternFill patternType="solid">
          <fgColor rgb="FFC6EFCE"/>
          <bgColor rgb="FFC6EFCE"/>
        </patternFill>
      </fill>
    </dxf>
    <dxf>
      <font>
        <name val="Calibri"/>
        <color rgb="FF595959"/>
        <sz val="10"/>
      </font>
      <fill>
        <patternFill patternType="solid">
          <fgColor rgb="FFEDEDED"/>
          <bgColor rgb="FFEDEDED"/>
        </patternFill>
      </fill>
    </dxf>
    <dxf>
      <font>
        <name val="Calibri"/>
        <b val="1"/>
        <color rgb="FF9C6500"/>
        <sz val="10"/>
      </font>
      <fill>
        <patternFill patternType="solid">
          <fgColor rgb="FFFFEB9C"/>
          <bgColor rgb="FFFFEB9C"/>
        </patternFill>
      </fill>
    </dxf>
    <dxf>
      <font>
        <name val="Calibri"/>
        <b val="1"/>
        <color rgb="FF9C0006"/>
        <sz val="10"/>
      </font>
      <fill>
        <patternFill patternType="solid">
          <fgColor rgb="FFFFC7CE"/>
          <bgColor rgb="FFFFC7CE"/>
        </patternFill>
      </fill>
    </dxf>
    <dxf>
      <font>
        <name val="Calibri"/>
        <b val="1"/>
        <color rgb="FF006100"/>
        <sz val="10"/>
      </font>
      <fill>
        <patternFill patternType="solid">
          <fgColor rgb="FFC6EFCE"/>
          <bgColor rgb="FFC6EFCE"/>
        </patternFill>
      </fill>
    </dxf>
    <dxf>
      <font>
        <name val="Calibri"/>
        <color rgb="FF595959"/>
        <sz val="10"/>
      </font>
      <fill>
        <patternFill patternType="solid">
          <fgColor rgb="FFEDEDED"/>
          <bgColor rgb="FFEDEDED"/>
        </patternFill>
      </fill>
    </dxf>
    <dxf>
      <font>
        <name val="Calibri"/>
        <b val="1"/>
        <color rgb="FF9C6500"/>
        <sz val="10"/>
      </font>
      <fill>
        <patternFill patternType="solid">
          <fgColor rgb="FFFFEB9C"/>
          <bgColor rgb="FFFFEB9C"/>
        </patternFill>
      </fill>
    </dxf>
    <dxf>
      <font>
        <name val="Calibri"/>
        <b val="1"/>
        <color rgb="FF9C0006"/>
        <sz val="10"/>
      </font>
      <fill>
        <patternFill patternType="solid">
          <fgColor rgb="FFFFC7CE"/>
          <bgColor rgb="FFFFC7CE"/>
        </patternFill>
      </fill>
    </dxf>
    <dxf>
      <font>
        <name val="Calibri"/>
        <b val="1"/>
        <color rgb="FF006100"/>
        <sz val="10"/>
      </font>
      <fill>
        <patternFill patternType="solid">
          <fgColor rgb="FFC6EFCE"/>
          <bgColor rgb="FF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
  <sheetViews>
    <sheetView topLeftCell="A2" workbookViewId="0">
      <selection activeCell="I8" sqref="I8"/>
    </sheetView>
  </sheetViews>
  <sheetFormatPr baseColWidth="10" defaultColWidth="8.83203125" defaultRowHeight="15"/>
  <cols>
    <col width="10" customWidth="1" style="18" min="1" max="1"/>
    <col width="36" customWidth="1" style="18" min="2" max="2"/>
    <col width="16" customWidth="1" style="18" min="3" max="4"/>
    <col width="12" customWidth="1" style="18" min="5" max="5"/>
    <col width="10" customWidth="1" style="18" min="6" max="6"/>
    <col width="32" customWidth="1" style="18" min="7" max="7"/>
    <col width="22" customWidth="1" style="18" min="8" max="8"/>
    <col width="15" customWidth="1" style="18" min="9" max="9"/>
    <col width="50" customWidth="1" style="18" min="10" max="10"/>
    <col width="35" customWidth="1" style="18" min="11" max="11"/>
  </cols>
  <sheetData>
    <row r="1" ht="25" customHeight="1" s="18">
      <c r="A1" s="19" t="inlineStr">
        <is>
          <t>PANADERÍA SAN NICOLÁS · GESTIÓN SEGUNDA ENTREGA (METODOLOGÍA SCRUM)</t>
        </is>
      </c>
    </row>
    <row r="2" ht="20" customHeight="1" s="18">
      <c r="A2" s="17" t="inlineStr">
        <is>
          <t>HISTORIAS DE USUARIO DE GESTIÓN (HU-17 A HU-26) · EVALUACIÓN Y VISTO BUENO DE QA</t>
        </is>
      </c>
    </row>
    <row r="3" ht="18" customHeight="1" s="18">
      <c r="A3" s="20" t="inlineStr">
        <is>
          <t>Responsable de Calidad (QA): María Camila Tamayo Cuesta | Haz clic en la columna 'Estado QA' para usar el botón desplegable</t>
        </is>
      </c>
    </row>
    <row r="5">
      <c r="A5" s="1" t="inlineStr">
        <is>
          <t>Total HU:</t>
        </is>
      </c>
      <c r="B5" s="2" t="n">
        <v>10</v>
      </c>
      <c r="C5" s="1" t="inlineStr">
        <is>
          <t>Puntos Totales:</t>
        </is>
      </c>
      <c r="D5" s="2">
        <f>SUM(F8:F17)</f>
        <v/>
      </c>
      <c r="E5" s="1" t="inlineStr">
        <is>
          <t>Aprobadas:</t>
        </is>
      </c>
      <c r="F5" s="2">
        <f>COUNTIF(H8:H17, "APROBADO")</f>
        <v/>
      </c>
      <c r="G5" s="1" t="inlineStr">
        <is>
          <t>Rechazadas:</t>
        </is>
      </c>
      <c r="H5" s="2">
        <f>COUNTIF(H8:H17, "RECHAZADO")</f>
        <v/>
      </c>
      <c r="I5" s="1" t="inlineStr">
        <is>
          <t>% Aprobación:</t>
        </is>
      </c>
      <c r="J5" s="11">
        <f>IF(B5=0,0,F5/B5)</f>
        <v/>
      </c>
    </row>
    <row r="7" ht="28" customHeight="1" s="18">
      <c r="A7" s="4" t="inlineStr">
        <is>
          <t>ID</t>
        </is>
      </c>
      <c r="B7" s="4" t="inlineStr">
        <is>
          <t>Título de la Historia</t>
        </is>
      </c>
      <c r="C7" s="4" t="inlineStr">
        <is>
          <t>Responsable</t>
        </is>
      </c>
      <c r="D7" s="4" t="inlineStr">
        <is>
          <t>Rol Scrum</t>
        </is>
      </c>
      <c r="E7" s="4" t="inlineStr">
        <is>
          <t>Prioridad</t>
        </is>
      </c>
      <c r="F7" s="4" t="inlineStr">
        <is>
          <t>Puntos</t>
        </is>
      </c>
      <c r="G7" s="4" t="inlineStr">
        <is>
          <t>Punto Exigido en la Guía</t>
        </is>
      </c>
      <c r="H7" s="4" t="inlineStr">
        <is>
          <t>Estado QA (Desplegable)</t>
        </is>
      </c>
      <c r="I7" s="4" t="inlineStr">
        <is>
          <t>Fecha Revisión</t>
        </is>
      </c>
      <c r="J7" s="4" t="inlineStr">
        <is>
          <t>Criterios de Aceptación a Verificar</t>
        </is>
      </c>
      <c r="K7" s="4" t="inlineStr">
        <is>
          <t>Acción en Caso de Rechazo</t>
        </is>
      </c>
    </row>
    <row r="8" ht="36" customHeight="1" s="18">
      <c r="A8" s="5" t="inlineStr">
        <is>
          <t>HU-17</t>
        </is>
      </c>
      <c r="B8" s="6" t="inlineStr">
        <is>
          <t>Definir el modelo híbrido</t>
        </is>
      </c>
      <c r="C8" s="7" t="inlineStr">
        <is>
          <t>Juan Pablo</t>
        </is>
      </c>
      <c r="D8" s="7" t="inlineStr">
        <is>
          <t>Scrum Master</t>
        </is>
      </c>
      <c r="E8" s="7" t="inlineStr">
        <is>
          <t>Alta</t>
        </is>
      </c>
      <c r="F8" s="7" t="n">
        <v>5</v>
      </c>
      <c r="G8" s="6" t="inlineStr">
        <is>
          <t>1. Análisis y aplicación del modelo híbrido</t>
        </is>
      </c>
      <c r="H8" s="7" t="inlineStr">
        <is>
          <t>APROBADO</t>
        </is>
      </c>
      <c r="I8" s="12" t="inlineStr">
        <is>
          <t>2026-10-28</t>
        </is>
      </c>
      <c r="J8" s="13" t="inlineStr">
        <is>
          <t>CA1. Se presenta el radar del filtro de idoneidad.
CA2. Cada entregable tiene su enfoque y su justificación.
CA3. Se explica la forma de combinación de los enfoques.
CA4. El documento resuelto (Word, Excel o imagen) queda subido.</t>
        </is>
      </c>
      <c r="K8" s="13" t="inlineStr">
        <is>
          <t>EN REVISIÓN: Verificar los criterios CA1, CA2 y CA3 del modelo híbrido y confirmar que el documento resuelto esté cargado para cumplir CA4.</t>
        </is>
      </c>
    </row>
    <row r="9" ht="36" customHeight="1" s="18">
      <c r="A9" s="8" t="inlineStr">
        <is>
          <t>HU-18</t>
        </is>
      </c>
      <c r="B9" s="9" t="inlineStr">
        <is>
          <t>Priorizar con MoSCoW y gestionar el flujo con Kanban</t>
        </is>
      </c>
      <c r="C9" s="10" t="inlineStr">
        <is>
          <t>María Camila</t>
        </is>
      </c>
      <c r="D9" s="10" t="inlineStr">
        <is>
          <t>QA</t>
        </is>
      </c>
      <c r="E9" s="10" t="inlineStr">
        <is>
          <t>Media</t>
        </is>
      </c>
      <c r="F9" s="10" t="n">
        <v>3</v>
      </c>
      <c r="G9" s="9" t="inlineStr">
        <is>
          <t>1. Análisis y aplicación del modelo híbrido</t>
        </is>
      </c>
      <c r="H9" s="10" t="inlineStr">
        <is>
          <t>APROBADO</t>
        </is>
      </c>
      <c r="I9" s="14" t="inlineStr">
        <is>
          <t>2026-10-29</t>
        </is>
      </c>
      <c r="J9" s="15" t="inlineStr">
        <is>
          <t>CA1. Cada historia tiene su categoría MoSCoW.
CA2. Se muestra el porcentaje de esfuerzo del Must.
CA3. El tablero Kanban tiene límites de WIP por columna.
CA4. Se reportan las métricas de flujo.</t>
        </is>
      </c>
      <c r="K9" s="15" t="inlineStr">
        <is>
          <t>Devolver al responsable para subsanar los criterios no cumplidos</t>
        </is>
      </c>
    </row>
    <row r="10" ht="36" customHeight="1" s="18">
      <c r="A10" s="5" t="inlineStr">
        <is>
          <t>HU-19</t>
        </is>
      </c>
      <c r="B10" s="6" t="inlineStr">
        <is>
          <t>Construir el CANVAS ampliado</t>
        </is>
      </c>
      <c r="C10" s="7" t="inlineStr">
        <is>
          <t>Juan Pablo</t>
        </is>
      </c>
      <c r="D10" s="7" t="inlineStr">
        <is>
          <t>Scrum Master</t>
        </is>
      </c>
      <c r="E10" s="7" t="inlineStr">
        <is>
          <t>Alta</t>
        </is>
      </c>
      <c r="F10" s="7" t="n">
        <v>8</v>
      </c>
      <c r="G10" s="6" t="inlineStr">
        <is>
          <t>2. Modelo de negocio: CANVAS ampliado, PESTEL, propuesta de valor y vía de escalamiento</t>
        </is>
      </c>
      <c r="H10" s="7" t="inlineStr">
        <is>
          <t>APROBADO</t>
        </is>
      </c>
      <c r="I10" s="12" t="inlineStr">
        <is>
          <t>2026-10-29</t>
        </is>
      </c>
      <c r="J10" s="13" t="inlineStr">
        <is>
          <t>CA1. Se muestran las tres capas y el Project Model Canvas.
CA2. La propuesta de valor encaja con los dolores del cliente.
CA3. Se describe la vía de escalamiento.
CA4. El documento resuelto (Word, Excel o imagen) queda subido.</t>
        </is>
      </c>
      <c r="K10" s="13" t="inlineStr">
        <is>
          <t>Devolver al responsable para subsanar los criterios no cumplidos</t>
        </is>
      </c>
    </row>
    <row r="11" ht="36" customHeight="1" s="18">
      <c r="A11" s="8" t="inlineStr">
        <is>
          <t>HU-20</t>
        </is>
      </c>
      <c r="B11" s="9" t="inlineStr">
        <is>
          <t>Realizar el análisis PESTEL</t>
        </is>
      </c>
      <c r="C11" s="10" t="inlineStr">
        <is>
          <t>María Camila</t>
        </is>
      </c>
      <c r="D11" s="10" t="inlineStr">
        <is>
          <t>QA</t>
        </is>
      </c>
      <c r="E11" s="10" t="inlineStr">
        <is>
          <t>Media</t>
        </is>
      </c>
      <c r="F11" s="10" t="n">
        <v>3</v>
      </c>
      <c r="G11" s="9" t="inlineStr">
        <is>
          <t>2. Modelo de negocio: CANVAS ampliado, PESTEL, propuesta de valor y vía de escalamiento</t>
        </is>
      </c>
      <c r="H11" s="10" t="inlineStr">
        <is>
          <t>APROBADO</t>
        </is>
      </c>
      <c r="I11" s="14" t="inlineStr">
        <is>
          <t>2026-10-29</t>
        </is>
      </c>
      <c r="J11" s="15" t="inlineStr">
        <is>
          <t>CA1. Se muestran las seis categorías PESTEL.
CA2. Cada factor tiene su fuente.
CA3. Los factores están priorizados.
CA4. Las amenazas prioritarias quedan conectadas con el registro de riesgos.
CA5. El documento resuelto (Word, Excel o imagen) queda subido.</t>
        </is>
      </c>
      <c r="K11" s="15" t="inlineStr">
        <is>
          <t>Devolver al responsable para subsanar los criterios no cumplidos</t>
        </is>
      </c>
    </row>
    <row r="12" ht="36" customHeight="1" s="18">
      <c r="A12" s="5" t="inlineStr">
        <is>
          <t>HU-21</t>
        </is>
      </c>
      <c r="B12" s="6" t="inlineStr">
        <is>
          <t>Evaluar opciones de financiación</t>
        </is>
      </c>
      <c r="C12" s="7" t="inlineStr">
        <is>
          <t>María Camila</t>
        </is>
      </c>
      <c r="D12" s="7" t="inlineStr">
        <is>
          <t>QA</t>
        </is>
      </c>
      <c r="E12" s="7" t="inlineStr">
        <is>
          <t>Media</t>
        </is>
      </c>
      <c r="F12" s="7" t="n">
        <v>5</v>
      </c>
      <c r="G12" s="6" t="inlineStr">
        <is>
          <t>3. Evaluación de opciones de financiación</t>
        </is>
      </c>
      <c r="H12" s="7" t="inlineStr">
        <is>
          <t>PENDIENTE</t>
        </is>
      </c>
      <c r="I12" s="12" t="n"/>
      <c r="J12" s="13" t="inlineStr">
        <is>
          <t>CA1. Se muestran las cinco opciones de financiación.
CA2. Cada opción tiene sus criterios de comparación.
CA3. Se registra una recomendación justificada.
CA4. El documento resuelto (Word, Excel o imagen) queda subido.</t>
        </is>
      </c>
      <c r="K12" s="13" t="inlineStr">
        <is>
          <t>Devolver al responsable para subsanar los criterios no cumplidos</t>
        </is>
      </c>
    </row>
    <row r="13" ht="36" customHeight="1" s="18">
      <c r="A13" s="8" t="inlineStr">
        <is>
          <t>HU-22</t>
        </is>
      </c>
      <c r="B13" s="9" t="inlineStr">
        <is>
          <t>Registrar el seguimiento de la ejecución</t>
        </is>
      </c>
      <c r="C13" s="10" t="inlineStr">
        <is>
          <t>Juan Pablo</t>
        </is>
      </c>
      <c r="D13" s="10" t="inlineStr">
        <is>
          <t>Scrum Master</t>
        </is>
      </c>
      <c r="E13" s="10" t="inlineStr">
        <is>
          <t>Alta</t>
        </is>
      </c>
      <c r="F13" s="10" t="n">
        <v>8</v>
      </c>
      <c r="G13" s="9" t="inlineStr">
        <is>
          <t>4. Aplicación o simulación de la ejecución</t>
        </is>
      </c>
      <c r="H13" s="10" t="inlineStr">
        <is>
          <t>PENDIENTE</t>
        </is>
      </c>
      <c r="I13" s="14" t="n"/>
      <c r="J13" s="15" t="inlineStr">
        <is>
          <t>CA1. Se muestra el cronograma planeado contra el ejecutado.
CA2. Se muestra la diferencia entre lo estimado y lo real.
CA3. Se calculan e interpretan SPI y CPI.
CA4. Cada cambio tiene fecha, descripción, impacto y decisión.
CA5. El documento resuelto (Word, Excel o imagen) queda subido.</t>
        </is>
      </c>
      <c r="K13" s="15" t="inlineStr">
        <is>
          <t>Devolver al responsable para subsanar los criterios no cumplidos</t>
        </is>
      </c>
    </row>
    <row r="14" ht="36" customHeight="1" s="18">
      <c r="A14" s="5" t="inlineStr">
        <is>
          <t>HU-23</t>
        </is>
      </c>
      <c r="B14" s="6" t="inlineStr">
        <is>
          <t>Ejecutar el plan de pruebas</t>
        </is>
      </c>
      <c r="C14" s="7" t="inlineStr">
        <is>
          <t>María Camila</t>
        </is>
      </c>
      <c r="D14" s="7" t="inlineStr">
        <is>
          <t>QA</t>
        </is>
      </c>
      <c r="E14" s="7" t="inlineStr">
        <is>
          <t>Alta</t>
        </is>
      </c>
      <c r="F14" s="7" t="n">
        <v>5</v>
      </c>
      <c r="G14" s="6" t="inlineStr">
        <is>
          <t>5. Resultados: aplicación, pruebas, validación, beneficio, lecciones y sostenimiento</t>
        </is>
      </c>
      <c r="H14" s="7" t="inlineStr">
        <is>
          <t>PENDIENTE</t>
        </is>
      </c>
      <c r="I14" s="12" t="n"/>
      <c r="J14" s="13" t="inlineStr">
        <is>
          <t>CA1. Cada historia tiene al menos un caso de prueba.
CA2. Se prueba la carga con un archivo distinto al de desarrollo.
CA3. Los errores encontrados quedan registrados y corregidos.
CA4. El plan y la evidencia quedan como anexo del informe.</t>
        </is>
      </c>
      <c r="K14" s="13" t="inlineStr">
        <is>
          <t>Devolver al responsable para subsanar los criterios no cumplidos</t>
        </is>
      </c>
    </row>
    <row r="15" ht="36" customHeight="1" s="18">
      <c r="A15" s="8" t="inlineStr">
        <is>
          <t>HU-24</t>
        </is>
      </c>
      <c r="B15" s="9" t="inlineStr">
        <is>
          <t>Validar la aplicación con el usuario</t>
        </is>
      </c>
      <c r="C15" s="10" t="inlineStr">
        <is>
          <t>María Camila</t>
        </is>
      </c>
      <c r="D15" s="10" t="inlineStr">
        <is>
          <t>QA</t>
        </is>
      </c>
      <c r="E15" s="10" t="inlineStr">
        <is>
          <t>Alta</t>
        </is>
      </c>
      <c r="F15" s="10" t="n">
        <v>3</v>
      </c>
      <c r="G15" s="9" t="inlineStr">
        <is>
          <t>5. Resultados: aplicación, pruebas, validación, beneficio, lecciones y sostenimiento</t>
        </is>
      </c>
      <c r="H15" s="10" t="inlineStr">
        <is>
          <t>PENDIENTE</t>
        </is>
      </c>
      <c r="I15" s="14" t="n"/>
      <c r="J15" s="15" t="inlineStr">
        <is>
          <t>CA1. Existe evidencia de la sesión de validación.
CA2. Las observaciones quedan registradas.
CA3. Se indica qué observaciones se atendieron.
CA4. Existe una aceptación formal de la aplicación.</t>
        </is>
      </c>
      <c r="K15" s="15" t="inlineStr">
        <is>
          <t>Devolver al responsable para subsanar los criterios no cumplidos</t>
        </is>
      </c>
    </row>
    <row r="16" ht="36" customHeight="1" s="18">
      <c r="A16" s="5" t="inlineStr">
        <is>
          <t>HU-25</t>
        </is>
      </c>
      <c r="B16" s="6" t="inlineStr">
        <is>
          <t>Registrar resultados y cierre</t>
        </is>
      </c>
      <c r="C16" s="7" t="inlineStr">
        <is>
          <t>María Camila</t>
        </is>
      </c>
      <c r="D16" s="7" t="inlineStr">
        <is>
          <t>QA</t>
        </is>
      </c>
      <c r="E16" s="7" t="inlineStr">
        <is>
          <t>Media</t>
        </is>
      </c>
      <c r="F16" s="7" t="n">
        <v>3</v>
      </c>
      <c r="G16" s="6" t="inlineStr">
        <is>
          <t>5. Resultados: aplicación, pruebas, validación, beneficio, lecciones y sostenimiento</t>
        </is>
      </c>
      <c r="H16" s="7" t="inlineStr">
        <is>
          <t>PENDIENTE</t>
        </is>
      </c>
      <c r="I16" s="12" t="n"/>
      <c r="J16" s="13" t="inlineStr">
        <is>
          <t>CA1. Se muestra el beneficio con su cálculo frente a la línea base.
CA2. Se registran al menos cinco lecciones aprendidas.
CA3. El plan de sostenimiento indica responsables y frecuencia.
CA4. Existe un acta de cierre.
CA5. El documento resuelto (Word, Excel o imagen) queda subido.</t>
        </is>
      </c>
      <c r="K16" s="13" t="inlineStr">
        <is>
          <t>Devolver al responsable para subsanar los criterios no cumplidos</t>
        </is>
      </c>
    </row>
    <row r="17" ht="36" customHeight="1" s="18">
      <c r="A17" s="8" t="inlineStr">
        <is>
          <t>HU-26</t>
        </is>
      </c>
      <c r="B17" s="9" t="inlineStr">
        <is>
          <t>Preparar la sustentación y la demostración</t>
        </is>
      </c>
      <c r="C17" s="10" t="inlineStr">
        <is>
          <t>Juan José</t>
        </is>
      </c>
      <c r="D17" s="10" t="inlineStr">
        <is>
          <t>Desarrollador</t>
        </is>
      </c>
      <c r="E17" s="10" t="inlineStr">
        <is>
          <t>Alta</t>
        </is>
      </c>
      <c r="F17" s="10" t="n">
        <v>3</v>
      </c>
      <c r="G17" s="9" t="inlineStr">
        <is>
          <t>6. Exposición y demostración en vivo</t>
        </is>
      </c>
      <c r="H17" s="10" t="inlineStr">
        <is>
          <t>PENDIENTE</t>
        </is>
      </c>
      <c r="I17" s="14" t="n"/>
      <c r="J17" s="15" t="inlineStr">
        <is>
          <t>CA1. La presentación tiene máximo 8 diapositivas.
CA2. Todos los integrantes tienen una parte asignada.
CA3. El pitch dura máximo 60 segundos.
CA4. La demostración genera el tablero con un archivo nuevo.</t>
        </is>
      </c>
      <c r="K17" s="15" t="inlineStr">
        <is>
          <t>Devolver al responsable para subsanar los criterios no cumplidos</t>
        </is>
      </c>
    </row>
  </sheetData>
  <mergeCells count="3">
    <mergeCell ref="A2:K2"/>
    <mergeCell ref="A1:K1"/>
    <mergeCell ref="A3:K3"/>
  </mergeCells>
  <conditionalFormatting sqref="H8:H17">
    <cfRule type="cellIs" priority="1" operator="equal" dxfId="3" stopIfTrue="1">
      <formula>"APROBADO"</formula>
    </cfRule>
    <cfRule type="cellIs" priority="2" operator="equal" dxfId="2" stopIfTrue="1">
      <formula>"RECHAZADO"</formula>
    </cfRule>
    <cfRule type="cellIs" priority="3" operator="equal" dxfId="1" stopIfTrue="1">
      <formula>"EN REVISIÓN"</formula>
    </cfRule>
    <cfRule type="cellIs" priority="4" operator="equal" dxfId="0" stopIfTrue="1">
      <formula>"PENDIENTE"</formula>
    </cfRule>
  </conditionalFormatting>
  <dataValidations count="1">
    <dataValidation sqref="H8:H17" showDropDown="0" showInputMessage="0" showErrorMessage="0" allowBlank="1" errorTitle="Estado Inválido" error="Selecciona: APROBADO, RECHAZADO, EN REVISIÓN o PENDIENTE." type="list">
      <formula1>"APROBADO,RECHAZADO,EN REVISIÓN,PENDIENTE"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3"/>
  <sheetViews>
    <sheetView topLeftCell="A13" workbookViewId="0">
      <selection activeCell="A1" sqref="A1:L1"/>
    </sheetView>
  </sheetViews>
  <sheetFormatPr baseColWidth="10" defaultColWidth="8.83203125" defaultRowHeight="15"/>
  <cols>
    <col width="10" customWidth="1" style="18" min="1" max="1"/>
    <col width="36" customWidth="1" style="18" min="2" max="2"/>
    <col width="16" customWidth="1" style="18" min="3" max="3"/>
    <col width="18" customWidth="1" style="18" min="4" max="4"/>
    <col width="14" customWidth="1" style="18" min="5" max="5"/>
    <col width="12" customWidth="1" style="18" min="6" max="6"/>
    <col width="10" customWidth="1" style="18" min="7" max="7"/>
    <col width="26" customWidth="1" style="18" min="8" max="8"/>
    <col width="32" customWidth="1" style="18" min="9" max="9"/>
    <col width="22" customWidth="1" style="18" min="10" max="10"/>
    <col width="15" customWidth="1" style="18" min="11" max="11"/>
    <col width="52" customWidth="1" style="18" min="12" max="12"/>
  </cols>
  <sheetData>
    <row r="1" ht="25" customHeight="1" s="18">
      <c r="A1" s="19" t="inlineStr">
        <is>
          <t>PANADERÍA SAN NICOLÁS · CONSTRUCCIÓN TÉCNICA DE LA APLICACIÓN WEB</t>
        </is>
      </c>
    </row>
    <row r="2" ht="20" customHeight="1" s="18">
      <c r="A2" s="17" t="inlineStr">
        <is>
          <t>HISTORIAS DE LA APLICACIÓN (HU-01 A HU-16) · REVISA: MARÍA CAMILA (QA)</t>
        </is>
      </c>
    </row>
    <row r="3" ht="18" customHeight="1" s="18">
      <c r="A3" s="20" t="inlineStr">
        <is>
          <t>Cada historia agrega una parte del producto de software y queda como commit en GitHub | Usa el desplegable en 'Estado QA'</t>
        </is>
      </c>
    </row>
    <row r="5">
      <c r="A5" s="1" t="inlineStr">
        <is>
          <t>Total HU:</t>
        </is>
      </c>
      <c r="B5" s="2" t="n">
        <v>16</v>
      </c>
      <c r="C5" s="1" t="inlineStr">
        <is>
          <t>Puntos Totales:</t>
        </is>
      </c>
      <c r="D5" s="2">
        <f>SUM(G8:G23)</f>
        <v/>
      </c>
      <c r="E5" s="1" t="inlineStr">
        <is>
          <t>Aprobadas:</t>
        </is>
      </c>
      <c r="F5" s="2">
        <f>COUNTIF(J8:J23, "APROBADO")</f>
        <v/>
      </c>
      <c r="G5" s="1" t="inlineStr">
        <is>
          <t>Rechazadas:</t>
        </is>
      </c>
      <c r="H5" s="2">
        <f>COUNTIF(J8:J23, "RECHAZADO")</f>
        <v/>
      </c>
      <c r="I5" s="1" t="inlineStr">
        <is>
          <t>% Aprobación:</t>
        </is>
      </c>
      <c r="J5" s="3">
        <f>F5/B5</f>
        <v/>
      </c>
    </row>
    <row r="7" ht="28" customHeight="1" s="18">
      <c r="A7" s="4" t="inlineStr">
        <is>
          <t>ID</t>
        </is>
      </c>
      <c r="B7" s="4" t="inlineStr">
        <is>
          <t>Historia de la Aplicación</t>
        </is>
      </c>
      <c r="C7" s="4" t="inlineStr">
        <is>
          <t>Responsable</t>
        </is>
      </c>
      <c r="D7" s="4" t="inlineStr">
        <is>
          <t>Revisa</t>
        </is>
      </c>
      <c r="E7" s="4" t="inlineStr">
        <is>
          <t>Tipo</t>
        </is>
      </c>
      <c r="F7" s="4" t="inlineStr">
        <is>
          <t>Prioridad</t>
        </is>
      </c>
      <c r="G7" s="4" t="inlineStr">
        <is>
          <t>Puntos</t>
        </is>
      </c>
      <c r="H7" s="4" t="inlineStr">
        <is>
          <t>Sprint y Fecha</t>
        </is>
      </c>
      <c r="I7" s="4" t="inlineStr">
        <is>
          <t>Evidencia / Commit en GitHub</t>
        </is>
      </c>
      <c r="J7" s="4" t="inlineStr">
        <is>
          <t>Estado QA (Desplegable)</t>
        </is>
      </c>
      <c r="K7" s="4" t="inlineStr">
        <is>
          <t>Fecha Revisión</t>
        </is>
      </c>
      <c r="L7" s="4" t="inlineStr">
        <is>
          <t>Criterios de Aceptación a Verificar</t>
        </is>
      </c>
    </row>
    <row r="8" ht="40" customHeight="1" s="18">
      <c r="A8" s="5" t="inlineStr">
        <is>
          <t>HU-01</t>
        </is>
      </c>
      <c r="B8" s="6" t="inlineStr">
        <is>
          <t>Crear la estructura y la arquitectura de la aplicación</t>
        </is>
      </c>
      <c r="C8" s="7" t="inlineStr">
        <is>
          <t>Iván Santiago</t>
        </is>
      </c>
      <c r="D8" s="7" t="inlineStr">
        <is>
          <t>María Camila (QA)</t>
        </is>
      </c>
      <c r="E8" s="7" t="inlineStr">
        <is>
          <t>Técnica (base de la aplicación)</t>
        </is>
      </c>
      <c r="F8" s="7" t="inlineStr">
        <is>
          <t>Alta</t>
        </is>
      </c>
      <c r="G8" s="7" t="n">
        <v>3</v>
      </c>
      <c r="H8" s="7" t="inlineStr">
        <is>
          <t>Sprint 2 · martes 27 de octubre de 2026</t>
        </is>
      </c>
      <c r="I8" s="6" t="inlineStr">
        <is>
          <t>feat(HU-01): estructura de la app, navegación y base de publ</t>
        </is>
      </c>
      <c r="J8" s="7" t="inlineStr">
        <is>
          <t>APROBADO</t>
        </is>
      </c>
      <c r="K8" s="7" t="inlineStr">
        <is>
          <t>2026-10-29</t>
        </is>
      </c>
      <c r="L8" s="6" t="inlineStr">
        <is>
          <t>CA1. El repositorio tiene las carpetas Frontend/, Backend/ y Docs/ con el código de esta historia.
CA2. Al abrir Frontend/index.html se ven los módulos Tablero y Cargar datos y se puede pasar de uno a otro.
CA3. Docs/Arquitectura.md y Docs/Decisiones_Tecnicas.md explican la arquitectura y por qué se eligió la tecnología.
CA4. El README describe la arquitectura real (sin Google Sheets).</t>
        </is>
      </c>
    </row>
    <row r="9" ht="40" customHeight="1" s="18">
      <c r="A9" s="8" t="inlineStr">
        <is>
          <t>HU-02</t>
        </is>
      </c>
      <c r="B9" s="9" t="inlineStr">
        <is>
          <t>Diseñar la plantilla de Excel y el diccionario de datos</t>
        </is>
      </c>
      <c r="C9" s="10" t="inlineStr">
        <is>
          <t>Juan José</t>
        </is>
      </c>
      <c r="D9" s="10" t="inlineStr">
        <is>
          <t>María Camila (QA)</t>
        </is>
      </c>
      <c r="E9" s="10" t="inlineStr">
        <is>
          <t>Técnica (base de la aplicación)</t>
        </is>
      </c>
      <c r="F9" s="10" t="inlineStr">
        <is>
          <t>Alta</t>
        </is>
      </c>
      <c r="G9" s="10" t="n">
        <v>2</v>
      </c>
      <c r="H9" s="10" t="inlineStr">
        <is>
          <t>Sprint 2 · martes 27 de octubre de 2026</t>
        </is>
      </c>
      <c r="I9" s="9" t="inlineStr">
        <is>
          <t>feat(HU-02): plantilla de Excel y diccionario de datos</t>
        </is>
      </c>
      <c r="J9" s="10" t="inlineStr">
        <is>
          <t>APROBADO</t>
        </is>
      </c>
      <c r="K9" s="10" t="inlineStr">
        <is>
          <t>2026-10-29</t>
        </is>
      </c>
      <c r="L9" s="9" t="inlineStr">
        <is>
          <t>CA1. La plantilla tiene las 9 hojas con los encabezados del diccionario.
CA2. Las tablas Dim traen los valores de los supuestos de simulación.
CA3. El botón descarga la plantilla desde la aplicación.
CA4. El diccionario documenta cada campo y las fórmulas de las fichas técnicas.</t>
        </is>
      </c>
    </row>
    <row r="10" ht="40" customHeight="1" s="18">
      <c r="A10" s="5" t="inlineStr">
        <is>
          <t>HU-03</t>
        </is>
      </c>
      <c r="B10" s="6" t="inlineStr">
        <is>
          <t>Simular un mes de datos del proceso</t>
        </is>
      </c>
      <c r="C10" s="7" t="inlineStr">
        <is>
          <t>María Camila</t>
        </is>
      </c>
      <c r="D10" s="7" t="inlineStr">
        <is>
          <t>María Camila (QA)</t>
        </is>
      </c>
      <c r="E10" s="7" t="inlineStr">
        <is>
          <t>Técnica (base de la aplicación)</t>
        </is>
      </c>
      <c r="F10" s="7" t="inlineStr">
        <is>
          <t>Alta</t>
        </is>
      </c>
      <c r="G10" s="7" t="n">
        <v>5</v>
      </c>
      <c r="H10" s="7" t="inlineStr">
        <is>
          <t>Sprint 2 · martes 27 de octubre de 2026</t>
        </is>
      </c>
      <c r="I10" s="6" t="inlineStr">
        <is>
          <t>feat(HU-03): simulación de Montecarlo de septiembre de 2026</t>
        </is>
      </c>
      <c r="J10" s="21" t="inlineStr">
        <is>
          <t>APROBADO</t>
        </is>
      </c>
      <c r="K10" s="22" t="inlineStr">
        <is>
          <t>2026-10-29</t>
        </is>
      </c>
      <c r="L10" s="6" t="inlineStr">
        <is>
          <t>CA1. El script genera el mismo archivo cada vez que se ejecuta con la misma semilla.
CA2. El libro tiene la estructura de la plantilla y la hoja Verificacion (OEE 67,70 %, SLA 92,11 %, % no vendido 2,27 %, productividad 8,03).
CA3. El archivo se declara como simulado con autorización del docente.
CA4. El botón «Descargar datos simulados» funciona.</t>
        </is>
      </c>
    </row>
    <row r="11" ht="40" customHeight="1" s="18">
      <c r="A11" s="8" t="inlineStr">
        <is>
          <t>HU-04</t>
        </is>
      </c>
      <c r="B11" s="9" t="inlineStr">
        <is>
          <t>Cargar el libro de Excel</t>
        </is>
      </c>
      <c r="C11" s="10" t="inlineStr">
        <is>
          <t>Juan José</t>
        </is>
      </c>
      <c r="D11" s="10" t="inlineStr">
        <is>
          <t>María Camila (QA)</t>
        </is>
      </c>
      <c r="E11" s="10" t="inlineStr">
        <is>
          <t>De usuario (lo que ve la panadería)</t>
        </is>
      </c>
      <c r="F11" s="10" t="inlineStr">
        <is>
          <t>Alta</t>
        </is>
      </c>
      <c r="G11" s="10" t="n">
        <v>3</v>
      </c>
      <c r="H11" s="10" t="inlineStr">
        <is>
          <t>Sprint 2 · martes 27 de octubre de 2026</t>
        </is>
      </c>
      <c r="I11" s="9" t="inlineStr">
        <is>
          <t>feat(HU-04): leer el libro de Excel en el navegador</t>
        </is>
      </c>
      <c r="J11" s="21" t="inlineStr">
        <is>
          <t>APROBADO</t>
        </is>
      </c>
      <c r="K11" s="23" t="inlineStr">
        <is>
          <t>2026-10-29</t>
        </is>
      </c>
      <c r="L11" s="9" t="inlineStr">
        <is>
          <t>CA1. Al soltar un .xlsx la aplicación muestra sus hojas y número de filas.
CA2. Un archivo que no es Excel muestra un mensaje de error claro.
CA3. «Usar datos de ejemplo» carga el mes simulado.
CA4. npm test pasa (3 pruebas).</t>
        </is>
      </c>
    </row>
    <row r="12" ht="40" customHeight="1" s="18">
      <c r="A12" s="5" t="inlineStr">
        <is>
          <t>HU-05</t>
        </is>
      </c>
      <c r="B12" s="6" t="inlineStr">
        <is>
          <t>Reconocer las tablas y validar los datos</t>
        </is>
      </c>
      <c r="C12" s="7" t="inlineStr">
        <is>
          <t>Iván Santiago</t>
        </is>
      </c>
      <c r="D12" s="7" t="inlineStr">
        <is>
          <t>María Camila (QA)</t>
        </is>
      </c>
      <c r="E12" s="7" t="inlineStr">
        <is>
          <t>De usuario (lo que ve la panadería)</t>
        </is>
      </c>
      <c r="F12" s="7" t="inlineStr">
        <is>
          <t>Alta</t>
        </is>
      </c>
      <c r="G12" s="7" t="n">
        <v>5</v>
      </c>
      <c r="H12" s="7" t="inlineStr">
        <is>
          <t>Sprint 2 · martes 27 de octubre de 2026</t>
        </is>
      </c>
      <c r="I12" s="6" t="inlineStr">
        <is>
          <t>feat(HU-05): reconocer las tablas por sus columnas y validar</t>
        </is>
      </c>
      <c r="J12" s="21" t="inlineStr">
        <is>
          <t>APROBADO</t>
        </is>
      </c>
      <c r="K12" s="22" t="inlineStr">
        <is>
          <t>2026-10-29</t>
        </is>
      </c>
      <c r="L12" s="6" t="inlineStr">
        <is>
          <t>CA1. Con el archivo de septiembre reconoce las 9 tablas y 0 filas con errores.
CA2. Reconoce la base del curso aunque las hojas cambien de nombre.
CA3. Una tanda con defectuosas mayores que producidas aparece rechazada con su número de fila.
CA4. npm test pasa (Tests/modelo.test.js).</t>
        </is>
      </c>
    </row>
    <row r="13" ht="40" customHeight="1" s="18">
      <c r="A13" s="8" t="inlineStr">
        <is>
          <t>HU-06</t>
        </is>
      </c>
      <c r="B13" s="9" t="inlineStr">
        <is>
          <t>Ver el OEE del horno (prototipo v0)</t>
        </is>
      </c>
      <c r="C13" s="10" t="inlineStr">
        <is>
          <t>Iván Santiago</t>
        </is>
      </c>
      <c r="D13" s="10" t="inlineStr">
        <is>
          <t>María Camila (QA)</t>
        </is>
      </c>
      <c r="E13" s="10" t="inlineStr">
        <is>
          <t>De usuario (lo que ve la panadería)</t>
        </is>
      </c>
      <c r="F13" s="10" t="inlineStr">
        <is>
          <t>Alta</t>
        </is>
      </c>
      <c r="G13" s="10" t="n">
        <v>8</v>
      </c>
      <c r="H13" s="10" t="inlineStr">
        <is>
          <t>Sprint 2 · martes 27 de octubre de 2026</t>
        </is>
      </c>
      <c r="I13" s="9" t="inlineStr">
        <is>
          <t xml:space="preserve">feat(HU-06): OEE del horno — prototipo v0 publicado en Apps </t>
        </is>
      </c>
      <c r="J13" s="10" t="inlineStr">
        <is>
          <t>PENDIENTE</t>
        </is>
      </c>
      <c r="K13" s="10" t="n"/>
      <c r="L13" s="9" t="inlineStr">
        <is>
          <t>CA1. Con septiembre: OEE 67,7 % (A 89,9 %, R 78,6 %, Q 95,8 %).
CA2. Con la base del curso: OEE 61,89 %.
CA3. Con octubre (archivo no usado para desarrollar): OEE 71,1 % y 42 turnos.
CA4. El prototipo v0 abre desde la URL /exec de Apps Script.
CA5. npm test pasa (Tests/oee.test.js).</t>
        </is>
      </c>
    </row>
    <row r="14" ht="40" customHeight="1" s="18">
      <c r="A14" s="5" t="inlineStr">
        <is>
          <t>HU-07</t>
        </is>
      </c>
      <c r="B14" s="6" t="inlineStr">
        <is>
          <t>Medir el SLA de pedidos (OTIF)</t>
        </is>
      </c>
      <c r="C14" s="7" t="inlineStr">
        <is>
          <t>Juan José</t>
        </is>
      </c>
      <c r="D14" s="7" t="inlineStr">
        <is>
          <t>María Camila (QA)</t>
        </is>
      </c>
      <c r="E14" s="7" t="inlineStr">
        <is>
          <t>De usuario (lo que ve la panadería)</t>
        </is>
      </c>
      <c r="F14" s="7" t="inlineStr">
        <is>
          <t>Alta</t>
        </is>
      </c>
      <c r="G14" s="7" t="n">
        <v>3</v>
      </c>
      <c r="H14" s="7" t="inlineStr">
        <is>
          <t>Sprint 3 · miércoles 28 de octubre de 2026</t>
        </is>
      </c>
      <c r="I14" s="6" t="inlineStr">
        <is>
          <t>feat(HU-07): SLA de pedidos (OTIF)</t>
        </is>
      </c>
      <c r="J14" s="7" t="inlineStr">
        <is>
          <t>PENDIENTE</t>
        </is>
      </c>
      <c r="K14" s="7" t="n"/>
      <c r="L14" s="6" t="inlineStr">
        <is>
          <t>CA1. Con septiembre: SLA 92,1 % (70 de 76 pedidos).
CA2. Un pedido entregado un minuto tarde o incompleto no cumple.
CA3. npm test pasa (Tests/sla.test.js).</t>
        </is>
      </c>
    </row>
    <row r="15" ht="40" customHeight="1" s="18">
      <c r="A15" s="8" t="inlineStr">
        <is>
          <t>HU-08</t>
        </is>
      </c>
      <c r="B15" s="9" t="inlineStr">
        <is>
          <t>Medir el % de producto no vendido</t>
        </is>
      </c>
      <c r="C15" s="10" t="inlineStr">
        <is>
          <t>Juan José</t>
        </is>
      </c>
      <c r="D15" s="10" t="inlineStr">
        <is>
          <t>María Camila (QA)</t>
        </is>
      </c>
      <c r="E15" s="10" t="inlineStr">
        <is>
          <t>De usuario (lo que ve la panadería)</t>
        </is>
      </c>
      <c r="F15" s="10" t="inlineStr">
        <is>
          <t>Alta</t>
        </is>
      </c>
      <c r="G15" s="10" t="n">
        <v>3</v>
      </c>
      <c r="H15" s="10" t="inlineStr">
        <is>
          <t>Sprint 3 · miércoles 28 de octubre de 2026</t>
        </is>
      </c>
      <c r="I15" s="9" t="inlineStr">
        <is>
          <t>feat(HU-08): % de producto no vendido</t>
        </is>
      </c>
      <c r="J15" s="10" t="inlineStr">
        <is>
          <t>PENDIENTE</t>
        </is>
      </c>
      <c r="K15" s="10" t="n"/>
      <c r="L15" s="9" t="inlineStr">
        <is>
          <t>CA1. Con septiembre: 2,3 % (dato coherente con la simulación).
CA2. Reconoce la tabla de ventas aunque la hoja tenga otro nombre.
CA3. npm test pasa (Tests/no-vendido.test.js).</t>
        </is>
      </c>
    </row>
    <row r="16" ht="40" customHeight="1" s="18">
      <c r="A16" s="5" t="inlineStr">
        <is>
          <t>HU-09</t>
        </is>
      </c>
      <c r="B16" s="6" t="inlineStr">
        <is>
          <t>Medir la productividad de mano de obra</t>
        </is>
      </c>
      <c r="C16" s="7" t="inlineStr">
        <is>
          <t>Juan José</t>
        </is>
      </c>
      <c r="D16" s="7" t="inlineStr">
        <is>
          <t>María Camila (QA)</t>
        </is>
      </c>
      <c r="E16" s="7" t="inlineStr">
        <is>
          <t>De usuario (lo que ve la panadería)</t>
        </is>
      </c>
      <c r="F16" s="7" t="inlineStr">
        <is>
          <t>Media</t>
        </is>
      </c>
      <c r="G16" s="7" t="n">
        <v>3</v>
      </c>
      <c r="H16" s="7" t="inlineStr">
        <is>
          <t>Sprint 3 · miércoles 28 de octubre de 2026</t>
        </is>
      </c>
      <c r="I16" s="6" t="inlineStr">
        <is>
          <t>feat(HU-09): productividad de mano de obra</t>
        </is>
      </c>
      <c r="J16" s="7" t="inlineStr">
        <is>
          <t>PENDIENTE</t>
        </is>
      </c>
      <c r="K16" s="7" t="n"/>
      <c r="L16" s="6" t="inlineStr">
        <is>
          <t>CA1. Con septiembre: 8,03 trenzas/h-h con 652,5 horas-hombre.
CA2. npm test pasa (Tests/productividad.test.js).</t>
        </is>
      </c>
    </row>
    <row r="17" ht="40" customHeight="1" s="18">
      <c r="A17" s="8" t="inlineStr">
        <is>
          <t>HU-10</t>
        </is>
      </c>
      <c r="B17" s="9" t="inlineStr">
        <is>
          <t>Ver el semáforo y ajustar las metas</t>
        </is>
      </c>
      <c r="C17" s="10" t="inlineStr">
        <is>
          <t>Juan José</t>
        </is>
      </c>
      <c r="D17" s="10" t="inlineStr">
        <is>
          <t>María Camila (QA)</t>
        </is>
      </c>
      <c r="E17" s="10" t="inlineStr">
        <is>
          <t>De usuario (lo que ve la panadería)</t>
        </is>
      </c>
      <c r="F17" s="10" t="inlineStr">
        <is>
          <t>Alta</t>
        </is>
      </c>
      <c r="G17" s="10" t="n">
        <v>3</v>
      </c>
      <c r="H17" s="10" t="inlineStr">
        <is>
          <t>Sprint 3 · miércoles 28 de octubre de 2026</t>
        </is>
      </c>
      <c r="I17" s="9" t="inlineStr">
        <is>
          <t>feat(HU-10): semáforos y metas de las fichas técnicas</t>
        </is>
      </c>
      <c r="J17" s="10" t="inlineStr">
        <is>
          <t>PENDIENTE</t>
        </is>
      </c>
      <c r="K17" s="10" t="n"/>
      <c r="L17" s="9" t="inlineStr">
        <is>
          <t>CA1. Con septiembre el OEE se ve verde, la disponibilidad amarilla y el % no vendido verde.
CA2. Al cambiar la meta del OEE a 70 la tarjeta pasa a amarillo y se conserva al recargar.
CA3. npm test pasa (Tests/semaforo.test.js).</t>
        </is>
      </c>
    </row>
    <row r="18" ht="40" customHeight="1" s="18">
      <c r="A18" s="5" t="inlineStr">
        <is>
          <t>HU-11</t>
        </is>
      </c>
      <c r="B18" s="6" t="inlineStr">
        <is>
          <t>Filtrar por fechas, turno y equipo</t>
        </is>
      </c>
      <c r="C18" s="7" t="inlineStr">
        <is>
          <t>Iván Santiago</t>
        </is>
      </c>
      <c r="D18" s="7" t="inlineStr">
        <is>
          <t>María Camila (QA)</t>
        </is>
      </c>
      <c r="E18" s="7" t="inlineStr">
        <is>
          <t>De usuario (lo que ve la panadería)</t>
        </is>
      </c>
      <c r="F18" s="7" t="inlineStr">
        <is>
          <t>Media</t>
        </is>
      </c>
      <c r="G18" s="7" t="n">
        <v>3</v>
      </c>
      <c r="H18" s="7" t="inlineStr">
        <is>
          <t>Sprint 3 · miércoles 28 de octubre de 2026</t>
        </is>
      </c>
      <c r="I18" s="6" t="inlineStr">
        <is>
          <t>feat(HU-11): filtros por fechas, turno y equipo</t>
        </is>
      </c>
      <c r="J18" s="7" t="inlineStr">
        <is>
          <t>PENDIENTE</t>
        </is>
      </c>
      <c r="K18" s="7" t="n"/>
      <c r="L18" s="6" t="inlineStr">
        <is>
          <t>CA1. Del 7 al 11 de septiembre se ven 5 días y 10 turnos.
CA2. Con el turno T1 se ven 22 turnos y el % no vendido en N/D.
CA3. npm test pasa (Tests/filtros.test.js).</t>
        </is>
      </c>
    </row>
    <row r="19" ht="40" customHeight="1" s="18">
      <c r="A19" s="8" t="inlineStr">
        <is>
          <t>HU-12</t>
        </is>
      </c>
      <c r="B19" s="9" t="inlineStr">
        <is>
          <t>Ver los gráficos del tablero</t>
        </is>
      </c>
      <c r="C19" s="10" t="inlineStr">
        <is>
          <t>Iván Santiago</t>
        </is>
      </c>
      <c r="D19" s="10" t="inlineStr">
        <is>
          <t>María Camila (QA)</t>
        </is>
      </c>
      <c r="E19" s="10" t="inlineStr">
        <is>
          <t>De usuario (lo que ve la panadería)</t>
        </is>
      </c>
      <c r="F19" s="10" t="inlineStr">
        <is>
          <t>Media</t>
        </is>
      </c>
      <c r="G19" s="10" t="n">
        <v>5</v>
      </c>
      <c r="H19" s="10" t="inlineStr">
        <is>
          <t>Sprint 3 · jueves 29 de octubre de 2026</t>
        </is>
      </c>
      <c r="I19" s="9" t="inlineStr">
        <is>
          <t>feat(HU-12): gráficos del tablero</t>
        </is>
      </c>
      <c r="J19" s="10" t="inlineStr">
        <is>
          <t>PENDIENTE</t>
        </is>
      </c>
      <c r="K19" s="10" t="n"/>
      <c r="L19" s="9" t="inlineStr">
        <is>
          <t>CA1. Con septiembre se dibujan 6 gráficos sin errores.
CA2. El Pareto queda ordenado de mayor a menor y su acumulado llega a 100 %.
CA3. npm test pasa (Tests/graficos.test.js).</t>
        </is>
      </c>
    </row>
    <row r="20" ht="40" customHeight="1" s="18">
      <c r="A20" s="5" t="inlineStr">
        <is>
          <t>HU-13</t>
        </is>
      </c>
      <c r="B20" s="6" t="inlineStr">
        <is>
          <t>Leer los hallazgos automáticos</t>
        </is>
      </c>
      <c r="C20" s="7" t="inlineStr">
        <is>
          <t>Juan José</t>
        </is>
      </c>
      <c r="D20" s="7" t="inlineStr">
        <is>
          <t>María Camila (QA)</t>
        </is>
      </c>
      <c r="E20" s="7" t="inlineStr">
        <is>
          <t>De usuario (lo que ve la panadería)</t>
        </is>
      </c>
      <c r="F20" s="7" t="inlineStr">
        <is>
          <t>Media</t>
        </is>
      </c>
      <c r="G20" s="7" t="n">
        <v>3</v>
      </c>
      <c r="H20" s="7" t="inlineStr">
        <is>
          <t>Sprint 3 · jueves 29 de octubre de 2026</t>
        </is>
      </c>
      <c r="I20" s="6" t="inlineStr">
        <is>
          <t>feat(HU-13): hallazgos automáticos</t>
        </is>
      </c>
      <c r="J20" s="7" t="inlineStr">
        <is>
          <t>PENDIENTE</t>
        </is>
      </c>
      <c r="K20" s="7" t="n"/>
      <c r="L20" s="6" t="inlineStr">
        <is>
          <t>CA1. Con septiembre se muestran 8 hallazgos coherentes con las tarjetas.
CA2. Cuando el filtro no deja registros, el panel lo dice.</t>
        </is>
      </c>
    </row>
    <row r="21" ht="40" customHeight="1" s="18">
      <c r="A21" s="8" t="inlineStr">
        <is>
          <t>HU-14</t>
        </is>
      </c>
      <c r="B21" s="9" t="inlineStr">
        <is>
          <t>Exportar e imprimir el tablero</t>
        </is>
      </c>
      <c r="C21" s="10" t="inlineStr">
        <is>
          <t>Juan José</t>
        </is>
      </c>
      <c r="D21" s="10" t="inlineStr">
        <is>
          <t>María Camila (QA)</t>
        </is>
      </c>
      <c r="E21" s="10" t="inlineStr">
        <is>
          <t>De usuario (lo que ve la panadería)</t>
        </is>
      </c>
      <c r="F21" s="10" t="inlineStr">
        <is>
          <t>Baja</t>
        </is>
      </c>
      <c r="G21" s="10" t="n">
        <v>2</v>
      </c>
      <c r="H21" s="10" t="inlineStr">
        <is>
          <t>Sprint 3 · jueves 29 de octubre de 2026</t>
        </is>
      </c>
      <c r="I21" s="9" t="inlineStr">
        <is>
          <t>feat(HU-14): exportar CSV e imprimir el tablero</t>
        </is>
      </c>
      <c r="J21" s="10" t="inlineStr">
        <is>
          <t>PENDIENTE</t>
        </is>
      </c>
      <c r="K21" s="10" t="n"/>
      <c r="L21" s="9" t="inlineStr">
        <is>
          <t>CA1. El CSV abre en Excel con columnas separadas y decimales con coma.
CA2. La impresión muestra tarjetas y gráficos sin los botones.</t>
        </is>
      </c>
    </row>
    <row r="22" ht="40" customHeight="1" s="18">
      <c r="A22" s="5" t="inlineStr">
        <is>
          <t>HU-15</t>
        </is>
      </c>
      <c r="B22" s="6" t="inlineStr">
        <is>
          <t>Probar la aplicación con un archivo distinto</t>
        </is>
      </c>
      <c r="C22" s="7" t="inlineStr">
        <is>
          <t>María Camila</t>
        </is>
      </c>
      <c r="D22" s="7" t="inlineStr">
        <is>
          <t>María Camila (QA)</t>
        </is>
      </c>
      <c r="E22" s="7" t="inlineStr">
        <is>
          <t>Técnica (base de la aplicación)</t>
        </is>
      </c>
      <c r="F22" s="7" t="inlineStr">
        <is>
          <t>Alta</t>
        </is>
      </c>
      <c r="G22" s="7" t="n">
        <v>5</v>
      </c>
      <c r="H22" s="7" t="inlineStr">
        <is>
          <t>Sprint 3 · jueves 29 de octubre de 2026</t>
        </is>
      </c>
      <c r="I22" s="6" t="inlineStr">
        <is>
          <t>test(HU-15): plan de pruebas y verificación con un archivo d</t>
        </is>
      </c>
      <c r="J22" s="7" t="inlineStr">
        <is>
          <t>PENDIENTE</t>
        </is>
      </c>
      <c r="K22" s="7" t="n"/>
      <c r="L22" s="6" t="inlineStr">
        <is>
          <t>CA1. Con octubre: 42 turnos y los 7 indicadores iguales a la hoja Verificacion.
CA2. Con la base del curso: OEE 61,9 % y gráfico por equipo.
CA3. npm test: 33 pruebas aprobadas.
CA4. Los casos E1 a E11 quedan registrados con su resultado.</t>
        </is>
      </c>
    </row>
    <row r="23" ht="40" customHeight="1" s="18">
      <c r="A23" s="8" t="inlineStr">
        <is>
          <t>HU-16</t>
        </is>
      </c>
      <c r="B23" s="9" t="inlineStr">
        <is>
          <t>Publicar el prototipo final</t>
        </is>
      </c>
      <c r="C23" s="10" t="inlineStr">
        <is>
          <t>Iván Santiago</t>
        </is>
      </c>
      <c r="D23" s="10" t="inlineStr">
        <is>
          <t>María Camila (QA)</t>
        </is>
      </c>
      <c r="E23" s="10" t="inlineStr">
        <is>
          <t>De usuario (lo que ve la panadería)</t>
        </is>
      </c>
      <c r="F23" s="10" t="inlineStr">
        <is>
          <t>Alta</t>
        </is>
      </c>
      <c r="G23" s="10" t="n">
        <v>3</v>
      </c>
      <c r="H23" s="10" t="inlineStr">
        <is>
          <t>Sprint 3 · jueves 29 de octubre de 2026</t>
        </is>
      </c>
      <c r="I23" s="9" t="inlineStr">
        <is>
          <t>feat(HU-16): prototipo final publicado en Apps Script y GitH</t>
        </is>
      </c>
      <c r="J23" s="10" t="inlineStr">
        <is>
          <t>PENDIENTE</t>
        </is>
      </c>
      <c r="K23" s="10" t="n"/>
      <c r="L23" s="9" t="inlineStr">
        <is>
          <t>CA1. La URL /exec abre la versión final y genera el tablero con el archivo de octubre.
CA2. El enlace de GitHub Pages abre la misma aplicación.
CA3. El manual explica cómo preparar los datos, generar y leer el tablero.</t>
        </is>
      </c>
    </row>
  </sheetData>
  <mergeCells count="3">
    <mergeCell ref="A3:L3"/>
    <mergeCell ref="A2:L2"/>
    <mergeCell ref="A1:L1"/>
  </mergeCells>
  <conditionalFormatting sqref="J8:J23">
    <cfRule type="cellIs" priority="1" operator="equal" dxfId="3" stopIfTrue="1">
      <formula>"APROBADO"</formula>
    </cfRule>
    <cfRule type="cellIs" priority="2" operator="equal" dxfId="2" stopIfTrue="1">
      <formula>"RECHAZADO"</formula>
    </cfRule>
    <cfRule type="cellIs" priority="3" operator="equal" dxfId="1" stopIfTrue="1">
      <formula>"EN REVISIÓN"</formula>
    </cfRule>
    <cfRule type="cellIs" priority="4" operator="equal" dxfId="0" stopIfTrue="1">
      <formula>"PENDIENTE"</formula>
    </cfRule>
  </conditionalFormatting>
  <dataValidations count="1">
    <dataValidation sqref="J8:J23" showDropDown="0" showInputMessage="0" showErrorMessage="0" allowBlank="1" type="list">
      <formula1>"APROBADO,RECHAZADO,EN REVISIÓN,PENDIENTE"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1"/>
  <sheetViews>
    <sheetView showGridLines="0" tabSelected="1" workbookViewId="0">
      <selection activeCell="D9" sqref="D9"/>
    </sheetView>
  </sheetViews>
  <sheetFormatPr baseColWidth="10" defaultColWidth="8.83203125" defaultRowHeight="15"/>
  <cols>
    <col width="14" customWidth="1" style="18" min="1" max="1"/>
    <col width="12" customWidth="1" style="18" min="2" max="3"/>
    <col width="45" customWidth="1" style="18" min="4" max="4"/>
    <col width="42" customWidth="1" style="18" min="5" max="5"/>
    <col width="14" customWidth="1" style="18" min="6" max="6"/>
    <col width="20" customWidth="1" style="18" min="7" max="7"/>
    <col width="35" customWidth="1" style="18" min="8" max="8"/>
  </cols>
  <sheetData>
    <row r="1" ht="25" customHeight="1" s="18">
      <c r="A1" s="19" t="inlineStr">
        <is>
          <t>CHECKLIST INTEGRAL DE CRITERIOS DE ACEPTACIÓN (DoD - DEFINITION OF DONE)</t>
        </is>
      </c>
    </row>
    <row r="2" ht="18" customHeight="1" s="18">
      <c r="A2" s="20" t="inlineStr">
        <is>
          <t>Desglose exhaustivo de los criterios oficiales para validar cada entrega con datos comprobables.</t>
        </is>
      </c>
    </row>
    <row r="4" ht="28" customHeight="1" s="18">
      <c r="A4" s="4" t="inlineStr">
        <is>
          <t>Ámbito</t>
        </is>
      </c>
      <c r="B4" s="4" t="inlineStr">
        <is>
          <t>ID Historia</t>
        </is>
      </c>
      <c r="C4" s="4" t="inlineStr">
        <is>
          <t>ID Criterio</t>
        </is>
      </c>
      <c r="D4" s="4" t="inlineStr">
        <is>
          <t>Criterio de Aceptación Oficial</t>
        </is>
      </c>
      <c r="E4" s="4" t="inlineStr">
        <is>
          <t>¿Qué debe verificar Camila con lupa?</t>
        </is>
      </c>
      <c r="F4" s="4" t="inlineStr">
        <is>
          <t>Severidad</t>
        </is>
      </c>
      <c r="G4" s="4" t="inlineStr">
        <is>
          <t>¿Cumple? (Desplegable)</t>
        </is>
      </c>
      <c r="H4" s="4" t="inlineStr">
        <is>
          <t>Observaciones de Camila (QA)</t>
        </is>
      </c>
    </row>
    <row r="5" ht="32" customHeight="1" s="18">
      <c r="A5" s="16" t="inlineStr">
        <is>
          <t>Gestión</t>
        </is>
      </c>
      <c r="B5" s="16" t="inlineStr">
        <is>
          <t>HU-17</t>
        </is>
      </c>
      <c r="C5" s="16" t="inlineStr">
        <is>
          <t>CA1</t>
        </is>
      </c>
      <c r="D5" s="15" t="inlineStr">
        <is>
          <t>Se presenta el radar del filtro de idoneidad.</t>
        </is>
      </c>
      <c r="E5" s="15" t="inlineStr">
        <is>
          <t>Verificar el criterio en el documento o evidencia correspondiente a la historia de usuario.</t>
        </is>
      </c>
      <c r="F5" s="15" t="inlineStr">
        <is>
          <t>Alta</t>
        </is>
      </c>
      <c r="G5" s="15" t="inlineStr">
        <is>
          <t>CUMPLE</t>
        </is>
      </c>
      <c r="H5" s="15" t="inlineStr">
        <is>
          <t>Radar del filtro de idoneidad presentado con promedio 3,2 (zona ágil). Referencias a PMI y Agile Alliance.</t>
        </is>
      </c>
    </row>
    <row r="6" ht="32" customHeight="1" s="18">
      <c r="A6" s="16" t="inlineStr">
        <is>
          <t>Gestión</t>
        </is>
      </c>
      <c r="B6" s="16" t="inlineStr">
        <is>
          <t>HU-17</t>
        </is>
      </c>
      <c r="C6" s="16" t="inlineStr">
        <is>
          <t>CA2</t>
        </is>
      </c>
      <c r="D6" s="15" t="inlineStr">
        <is>
          <t>Cada entregable tiene su enfoque y su justificación.</t>
        </is>
      </c>
      <c r="E6" s="15" t="inlineStr">
        <is>
          <t>Verificar el criterio en el documento o evidencia correspondiente a la historia de usuario.</t>
        </is>
      </c>
      <c r="F6" s="15" t="inlineStr">
        <is>
          <t>Alta</t>
        </is>
      </c>
      <c r="G6" s="15" t="inlineStr">
        <is>
          <t>CUMPLE</t>
        </is>
      </c>
      <c r="H6" s="15" t="inlineStr">
        <is>
          <t>Enfoque predictivo vs ágil justificado para cada entregable con modelo de incertidumbre de Stacey.</t>
        </is>
      </c>
    </row>
    <row r="7" ht="32" customHeight="1" s="18">
      <c r="A7" s="16" t="inlineStr">
        <is>
          <t>Gestión</t>
        </is>
      </c>
      <c r="B7" s="16" t="inlineStr">
        <is>
          <t>HU-17</t>
        </is>
      </c>
      <c r="C7" s="16" t="inlineStr">
        <is>
          <t>CA3</t>
        </is>
      </c>
      <c r="D7" s="15" t="inlineStr">
        <is>
          <t>Se explica la forma de combinación de los enfoques.</t>
        </is>
      </c>
      <c r="E7" s="15" t="inlineStr">
        <is>
          <t>Verificar el criterio en el documento o evidencia correspondiente a la historia de usuario.</t>
        </is>
      </c>
      <c r="F7" s="15" t="inlineStr">
        <is>
          <t>Alta</t>
        </is>
      </c>
      <c r="G7" s="15" t="inlineStr">
        <is>
          <t>CUMPLE</t>
        </is>
      </c>
      <c r="H7" s="15" t="inlineStr">
        <is>
          <t>Explicada combinación simultánea con marco predictivo de gobierno y sprints Scrum.</t>
        </is>
      </c>
    </row>
    <row r="8" ht="32" customHeight="1" s="18">
      <c r="A8" s="16" t="inlineStr">
        <is>
          <t>Gestión</t>
        </is>
      </c>
      <c r="B8" s="16" t="inlineStr">
        <is>
          <t>HU-17</t>
        </is>
      </c>
      <c r="C8" s="16" t="inlineStr">
        <is>
          <t>CA4</t>
        </is>
      </c>
      <c r="D8" s="15" t="inlineStr">
        <is>
          <t>El documento resuelto (Word, Excel o imagen) queda subido.</t>
        </is>
      </c>
      <c r="E8" s="15" t="inlineStr">
        <is>
          <t>Verificar el criterio en el documento o evidencia correspondiente a la historia de usuario.</t>
        </is>
      </c>
      <c r="F8" s="15" t="inlineStr">
        <is>
          <t>Alta</t>
        </is>
      </c>
      <c r="G8" s="15" t="inlineStr">
        <is>
          <t>CUMPLE</t>
        </is>
      </c>
      <c r="H8" s="15" t="inlineStr">
        <is>
          <t>Documento HU-17_Modelo_Hibrido.docx subido y versionado en la carpeta Docs.</t>
        </is>
      </c>
    </row>
    <row r="9" ht="32" customHeight="1" s="18">
      <c r="A9" s="16" t="inlineStr">
        <is>
          <t>Gestión</t>
        </is>
      </c>
      <c r="B9" s="16" t="inlineStr">
        <is>
          <t>HU-18</t>
        </is>
      </c>
      <c r="C9" s="16" t="inlineStr">
        <is>
          <t>CA1</t>
        </is>
      </c>
      <c r="D9" s="15" t="inlineStr">
        <is>
          <t>Cada historia tiene su categoría MoSCoW.</t>
        </is>
      </c>
      <c r="E9" s="15" t="inlineStr">
        <is>
          <t>Verificar el criterio en el documento o evidencia correspondiente a la historia de usuario.</t>
        </is>
      </c>
      <c r="F9" s="15" t="inlineStr">
        <is>
          <t>Media</t>
        </is>
      </c>
      <c r="G9" s="15" t="inlineStr">
        <is>
          <t>CUMPLE</t>
        </is>
      </c>
      <c r="H9" s="15" t="inlineStr">
        <is>
          <t>Clasificación MoSCoW completa para todos los entregables de la segunda entrega (24p Must, 17p Should, 5p Could, 0p Won't).</t>
        </is>
      </c>
    </row>
    <row r="10" ht="32" customHeight="1" s="18">
      <c r="A10" s="16" t="inlineStr">
        <is>
          <t>Gestión</t>
        </is>
      </c>
      <c r="B10" s="16" t="inlineStr">
        <is>
          <t>HU-18</t>
        </is>
      </c>
      <c r="C10" s="16" t="inlineStr">
        <is>
          <t>CA2</t>
        </is>
      </c>
      <c r="D10" s="15" t="inlineStr">
        <is>
          <t>Se muestra el porcentaje de esfuerzo del Must.</t>
        </is>
      </c>
      <c r="E10" s="15" t="inlineStr">
        <is>
          <t>Verificar el criterio en el documento o evidencia correspondiente a la historia de usuario.</t>
        </is>
      </c>
      <c r="F10" s="15" t="inlineStr">
        <is>
          <t>Media</t>
        </is>
      </c>
      <c r="G10" s="15" t="inlineStr">
        <is>
          <t>CUMPLE</t>
        </is>
      </c>
      <c r="H10" s="15" t="inlineStr">
        <is>
          <t>Must representa exactamente el 52 % del esfuerzo total, cumpliendo la regla de estar por debajo del 60 %.</t>
        </is>
      </c>
    </row>
    <row r="11" ht="32" customHeight="1" s="18">
      <c r="A11" s="16" t="inlineStr">
        <is>
          <t>Gestión</t>
        </is>
      </c>
      <c r="B11" s="16" t="inlineStr">
        <is>
          <t>HU-18</t>
        </is>
      </c>
      <c r="C11" s="16" t="inlineStr">
        <is>
          <t>CA3</t>
        </is>
      </c>
      <c r="D11" s="15" t="inlineStr">
        <is>
          <t>El tablero Kanban tiene límites de WIP por columna.</t>
        </is>
      </c>
      <c r="E11" s="15" t="inlineStr">
        <is>
          <t>Verificar el criterio en el documento o evidencia correspondiente a la historia de usuario.</t>
        </is>
      </c>
      <c r="F11" s="15" t="inlineStr">
        <is>
          <t>Media</t>
        </is>
      </c>
      <c r="G11" s="15" t="inlineStr">
        <is>
          <t>CUMPLE</t>
        </is>
      </c>
      <c r="H11" s="15" t="inlineStr">
        <is>
          <t>Tablero Kanban de documentación definido con 4 columnas y límites de WIP (Redacción: 2, Revisión QA: 2, Ajustes: 1).</t>
        </is>
      </c>
    </row>
    <row r="12" ht="32" customHeight="1" s="18">
      <c r="A12" s="16" t="inlineStr">
        <is>
          <t>Gestión</t>
        </is>
      </c>
      <c r="B12" s="16" t="inlineStr">
        <is>
          <t>HU-18</t>
        </is>
      </c>
      <c r="C12" s="16" t="inlineStr">
        <is>
          <t>CA4</t>
        </is>
      </c>
      <c r="D12" s="15" t="inlineStr">
        <is>
          <t>Se reportan las métricas de flujo.</t>
        </is>
      </c>
      <c r="E12" s="15" t="inlineStr">
        <is>
          <t>Verificar el criterio en el documento o evidencia correspondiente a la historia de usuario.</t>
        </is>
      </c>
      <c r="F12" s="15" t="inlineStr">
        <is>
          <t>Media</t>
        </is>
      </c>
      <c r="G12" s="15" t="inlineStr">
        <is>
          <t>CUMPLE</t>
        </is>
      </c>
      <c r="H12" s="15" t="inlineStr">
        <is>
          <t>Reporte completo de métricas de flujo: WIP=2, Lead time=3d, Cycle time&lt;1d, Throughput=3 tarjetas/día y Ley de Little.</t>
        </is>
      </c>
    </row>
    <row r="13" ht="32" customHeight="1" s="18">
      <c r="A13" s="16" t="inlineStr">
        <is>
          <t>Gestión</t>
        </is>
      </c>
      <c r="B13" s="16" t="inlineStr">
        <is>
          <t>HU-19</t>
        </is>
      </c>
      <c r="C13" s="16" t="inlineStr">
        <is>
          <t>CA1</t>
        </is>
      </c>
      <c r="D13" s="15" t="inlineStr">
        <is>
          <t>Se muestran las tres capas y el Project Model Canvas.</t>
        </is>
      </c>
      <c r="E13" s="15" t="inlineStr">
        <is>
          <t>Verificar el criterio en el documento o evidencia correspondiente a la historia de usuario.</t>
        </is>
      </c>
      <c r="F13" s="15" t="inlineStr">
        <is>
          <t>Alta</t>
        </is>
      </c>
      <c r="G13" s="15" t="inlineStr">
        <is>
          <t>CUMPLE</t>
        </is>
      </c>
      <c r="H13" s="15" t="inlineStr">
        <is>
          <t>Contiene las 3 capas (Económica con 9 bloques BMC, Ambiental y Social según Joyce &amp; Paquin) más el Project Model Canvas (Finocchio).</t>
        </is>
      </c>
    </row>
    <row r="14" ht="32" customHeight="1" s="18">
      <c r="A14" s="16" t="inlineStr">
        <is>
          <t>Gestión</t>
        </is>
      </c>
      <c r="B14" s="16" t="inlineStr">
        <is>
          <t>HU-19</t>
        </is>
      </c>
      <c r="C14" s="16" t="inlineStr">
        <is>
          <t>CA2</t>
        </is>
      </c>
      <c r="D14" s="15" t="inlineStr">
        <is>
          <t>La propuesta de valor encaja con los dolores del cliente.</t>
        </is>
      </c>
      <c r="E14" s="15" t="inlineStr">
        <is>
          <t>Verificar el criterio en el documento o evidencia correspondiente a la historia de usuario.</t>
        </is>
      </c>
      <c r="F14" s="15" t="inlineStr">
        <is>
          <t>Alta</t>
        </is>
      </c>
      <c r="G14" s="15" t="inlineStr">
        <is>
          <t>CUMPLE</t>
        </is>
      </c>
      <c r="H14" s="15" t="inlineStr">
        <is>
          <t>Lienzo de propuesta de valor alinea dolores del dueño (pan sobrante, paros) con aliviadores y creadores de valor del tablero.</t>
        </is>
      </c>
    </row>
    <row r="15" ht="32" customHeight="1" s="18">
      <c r="A15" s="16" t="inlineStr">
        <is>
          <t>Gestión</t>
        </is>
      </c>
      <c r="B15" s="16" t="inlineStr">
        <is>
          <t>HU-19</t>
        </is>
      </c>
      <c r="C15" s="16" t="inlineStr">
        <is>
          <t>CA3</t>
        </is>
      </c>
      <c r="D15" s="15" t="inlineStr">
        <is>
          <t>Se describe la vía de escalamiento.</t>
        </is>
      </c>
      <c r="E15" s="15" t="inlineStr">
        <is>
          <t>Verificar el criterio en el documento o evidencia correspondiente a la historia de usuario.</t>
        </is>
      </c>
      <c r="F15" s="15" t="inlineStr">
        <is>
          <t>Alta</t>
        </is>
      </c>
      <c r="G15" s="15" t="inlineStr">
        <is>
          <t>CUMPLE</t>
        </is>
      </c>
      <c r="H15" s="15" t="inlineStr">
        <is>
          <t>Vía de escalamiento descrita en 4 fases con validación MVP (desde pan trenza piloto hasta panaderías de punto caliente del país).</t>
        </is>
      </c>
    </row>
    <row r="16" ht="32" customHeight="1" s="18">
      <c r="A16" s="16" t="inlineStr">
        <is>
          <t>Gestión</t>
        </is>
      </c>
      <c r="B16" s="16" t="inlineStr">
        <is>
          <t>HU-19</t>
        </is>
      </c>
      <c r="C16" s="16" t="inlineStr">
        <is>
          <t>CA4</t>
        </is>
      </c>
      <c r="D16" s="15" t="inlineStr">
        <is>
          <t>El documento resuelto (Word, Excel o imagen) queda subido.</t>
        </is>
      </c>
      <c r="E16" s="15" t="inlineStr">
        <is>
          <t>Verificar el criterio en el documento o evidencia correspondiente a la historia de usuario.</t>
        </is>
      </c>
      <c r="F16" s="15" t="inlineStr">
        <is>
          <t>Alta</t>
        </is>
      </c>
      <c r="G16" s="15" t="inlineStr">
        <is>
          <t>CUMPLE</t>
        </is>
      </c>
      <c r="H16" s="15" t="inlineStr">
        <is>
          <t>Documentos HU-19_CANVAS_Ampliado.docx y HU-19_CANVAS_Ampliado.md subidos correctamente al repositorio.</t>
        </is>
      </c>
    </row>
    <row r="17" ht="32" customHeight="1" s="18">
      <c r="A17" s="16" t="inlineStr">
        <is>
          <t>Gestión</t>
        </is>
      </c>
      <c r="B17" s="16" t="inlineStr">
        <is>
          <t>HU-20</t>
        </is>
      </c>
      <c r="C17" s="16" t="inlineStr">
        <is>
          <t>CA1</t>
        </is>
      </c>
      <c r="D17" s="15" t="inlineStr">
        <is>
          <t>Se muestran las seis categorías PESTEL.</t>
        </is>
      </c>
      <c r="E17" s="15" t="inlineStr">
        <is>
          <t>Verificar el criterio en el documento o evidencia correspondiente a la historia de usuario.</t>
        </is>
      </c>
      <c r="F17" s="15" t="inlineStr">
        <is>
          <t>Media</t>
        </is>
      </c>
      <c r="G17" s="15" t="inlineStr">
        <is>
          <t>CUMPLE</t>
        </is>
      </c>
      <c r="H17" s="15" t="inlineStr">
        <is>
          <t>Contiene las 6 dimensiones PESTEL (Político, Económico, Social, Tecnológico, Ecológico y Legal) con 10 factores analizados.</t>
        </is>
      </c>
    </row>
    <row r="18" ht="32" customHeight="1" s="18">
      <c r="A18" s="16" t="inlineStr">
        <is>
          <t>Gestión</t>
        </is>
      </c>
      <c r="B18" s="16" t="inlineStr">
        <is>
          <t>HU-20</t>
        </is>
      </c>
      <c r="C18" s="16" t="inlineStr">
        <is>
          <t>CA2</t>
        </is>
      </c>
      <c r="D18" s="15" t="inlineStr">
        <is>
          <t>Cada factor tiene su fuente.</t>
        </is>
      </c>
      <c r="E18" s="15" t="inlineStr">
        <is>
          <t>Verificar el criterio en el documento o evidencia correspondiente a la historia de usuario.</t>
        </is>
      </c>
      <c r="F18" s="15" t="inlineStr">
        <is>
          <t>Media</t>
        </is>
      </c>
      <c r="G18" s="15" t="inlineStr">
        <is>
          <t>CUMPLE</t>
        </is>
      </c>
      <c r="H18" s="15" t="inlineStr">
        <is>
          <t>Todos los factores cuentan con fuentes verificables (DANE, Banco de la República, Leyes 2101/2169, El País, Portafolio).</t>
        </is>
      </c>
    </row>
    <row r="19" ht="32" customHeight="1" s="18">
      <c r="A19" s="16" t="inlineStr">
        <is>
          <t>Gestión</t>
        </is>
      </c>
      <c r="B19" s="16" t="inlineStr">
        <is>
          <t>HU-20</t>
        </is>
      </c>
      <c r="C19" s="16" t="inlineStr">
        <is>
          <t>CA3</t>
        </is>
      </c>
      <c r="D19" s="15" t="inlineStr">
        <is>
          <t>Los factores están priorizados.</t>
        </is>
      </c>
      <c r="E19" s="15" t="inlineStr">
        <is>
          <t>Verificar el criterio en el documento o evidencia correspondiente a la historia de usuario.</t>
        </is>
      </c>
      <c r="F19" s="15" t="inlineStr">
        <is>
          <t>Media</t>
        </is>
      </c>
      <c r="G19" s="15" t="inlineStr">
        <is>
          <t>CUMPLE</t>
        </is>
      </c>
      <c r="H19" s="15" t="inlineStr">
        <is>
          <t>Matriz de priorización calculada con Probabilidad x Impacto (escala 1 a 5), clasificando 3 amenazas de nivel Alto (P×I ≥ 12).</t>
        </is>
      </c>
    </row>
    <row r="20" ht="32" customHeight="1" s="18">
      <c r="A20" s="16" t="inlineStr">
        <is>
          <t>Gestión</t>
        </is>
      </c>
      <c r="B20" s="16" t="inlineStr">
        <is>
          <t>HU-20</t>
        </is>
      </c>
      <c r="C20" s="16" t="inlineStr">
        <is>
          <t>CA4</t>
        </is>
      </c>
      <c r="D20" s="15" t="inlineStr">
        <is>
          <t>Las amenazas prioritarias quedan conectadas con el registro de riesgos.</t>
        </is>
      </c>
      <c r="E20" s="15" t="inlineStr">
        <is>
          <t>Verificar el criterio en el documento o evidencia correspondiente a la historia de usuario.</t>
        </is>
      </c>
      <c r="F20" s="15" t="inlineStr">
        <is>
          <t>Media</t>
        </is>
      </c>
      <c r="G20" s="15" t="inlineStr">
        <is>
          <t>CUMPLE</t>
        </is>
      </c>
      <c r="H20" s="15" t="inlineStr">
        <is>
          <t>Amenazas altas (inflación, alza salario, demanda estancada) conectadas a riesgos R13, R14 y R15 de HU-11 con plan de mitigación.</t>
        </is>
      </c>
    </row>
    <row r="21" ht="32" customHeight="1" s="18">
      <c r="A21" s="16" t="inlineStr">
        <is>
          <t>Gestión</t>
        </is>
      </c>
      <c r="B21" s="16" t="inlineStr">
        <is>
          <t>HU-20</t>
        </is>
      </c>
      <c r="C21" s="16" t="inlineStr">
        <is>
          <t>CA5</t>
        </is>
      </c>
      <c r="D21" s="15" t="inlineStr">
        <is>
          <t>El documento resuelto (Word, Excel o imagen) queda subido.</t>
        </is>
      </c>
      <c r="E21" s="15" t="inlineStr">
        <is>
          <t>Verificar el criterio en el documento o evidencia correspondiente a la historia de usuario.</t>
        </is>
      </c>
      <c r="F21" s="15" t="inlineStr">
        <is>
          <t>Media</t>
        </is>
      </c>
      <c r="G21" s="15" t="inlineStr">
        <is>
          <t>CUMPLE</t>
        </is>
      </c>
      <c r="H21" s="15" t="inlineStr">
        <is>
          <t>Documentos HU-20_PESTEL.docx, HU-20_PESTEL.md y tabla gráfica hu20_tablas_pestel.png subidos en la rama hu-20-pestel.</t>
        </is>
      </c>
    </row>
    <row r="22" ht="32" customHeight="1" s="18">
      <c r="A22" s="16" t="inlineStr">
        <is>
          <t>Gestión</t>
        </is>
      </c>
      <c r="B22" s="16" t="inlineStr">
        <is>
          <t>HU-21</t>
        </is>
      </c>
      <c r="C22" s="16" t="inlineStr">
        <is>
          <t>CA1</t>
        </is>
      </c>
      <c r="D22" s="15" t="inlineStr">
        <is>
          <t>Se muestran las cinco opciones de financiación.</t>
        </is>
      </c>
      <c r="E22" s="15" t="inlineStr">
        <is>
          <t>Verificar el criterio en el documento o evidencia correspondiente a la historia de usuario.</t>
        </is>
      </c>
      <c r="F22" s="15" t="inlineStr">
        <is>
          <t>Media</t>
        </is>
      </c>
      <c r="G22" s="15" t="inlineStr">
        <is>
          <t>PENDIENTE</t>
        </is>
      </c>
      <c r="H22" s="15" t="n"/>
    </row>
    <row r="23" ht="32" customHeight="1" s="18">
      <c r="A23" s="16" t="inlineStr">
        <is>
          <t>Gestión</t>
        </is>
      </c>
      <c r="B23" s="16" t="inlineStr">
        <is>
          <t>HU-21</t>
        </is>
      </c>
      <c r="C23" s="16" t="inlineStr">
        <is>
          <t>CA2</t>
        </is>
      </c>
      <c r="D23" s="15" t="inlineStr">
        <is>
          <t>Cada opción tiene sus criterios de comparación.</t>
        </is>
      </c>
      <c r="E23" s="15" t="inlineStr">
        <is>
          <t>Verificar el criterio en el documento o evidencia correspondiente a la historia de usuario.</t>
        </is>
      </c>
      <c r="F23" s="15" t="inlineStr">
        <is>
          <t>Media</t>
        </is>
      </c>
      <c r="G23" s="15" t="inlineStr">
        <is>
          <t>PENDIENTE</t>
        </is>
      </c>
      <c r="H23" s="15" t="n"/>
    </row>
    <row r="24" ht="32" customHeight="1" s="18">
      <c r="A24" s="16" t="inlineStr">
        <is>
          <t>Gestión</t>
        </is>
      </c>
      <c r="B24" s="16" t="inlineStr">
        <is>
          <t>HU-21</t>
        </is>
      </c>
      <c r="C24" s="16" t="inlineStr">
        <is>
          <t>CA3</t>
        </is>
      </c>
      <c r="D24" s="15" t="inlineStr">
        <is>
          <t>Se registra una recomendación justificada.</t>
        </is>
      </c>
      <c r="E24" s="15" t="inlineStr">
        <is>
          <t>Verificar el criterio en el documento o evidencia correspondiente a la historia de usuario.</t>
        </is>
      </c>
      <c r="F24" s="15" t="inlineStr">
        <is>
          <t>Media</t>
        </is>
      </c>
      <c r="G24" s="15" t="inlineStr">
        <is>
          <t>PENDIENTE</t>
        </is>
      </c>
      <c r="H24" s="15" t="n"/>
    </row>
    <row r="25" ht="32" customHeight="1" s="18">
      <c r="A25" s="16" t="inlineStr">
        <is>
          <t>Gestión</t>
        </is>
      </c>
      <c r="B25" s="16" t="inlineStr">
        <is>
          <t>HU-21</t>
        </is>
      </c>
      <c r="C25" s="16" t="inlineStr">
        <is>
          <t>CA4</t>
        </is>
      </c>
      <c r="D25" s="15" t="inlineStr">
        <is>
          <t>El documento resuelto (Word, Excel o imagen) queda subido.</t>
        </is>
      </c>
      <c r="E25" s="15" t="inlineStr">
        <is>
          <t>Verificar el criterio en el documento o evidencia correspondiente a la historia de usuario.</t>
        </is>
      </c>
      <c r="F25" s="15" t="inlineStr">
        <is>
          <t>Media</t>
        </is>
      </c>
      <c r="G25" s="15" t="inlineStr">
        <is>
          <t>PENDIENTE</t>
        </is>
      </c>
      <c r="H25" s="15" t="n"/>
    </row>
    <row r="26" ht="32" customHeight="1" s="18">
      <c r="A26" s="16" t="inlineStr">
        <is>
          <t>Gestión</t>
        </is>
      </c>
      <c r="B26" s="16" t="inlineStr">
        <is>
          <t>HU-22</t>
        </is>
      </c>
      <c r="C26" s="16" t="inlineStr">
        <is>
          <t>CA1</t>
        </is>
      </c>
      <c r="D26" s="15" t="inlineStr">
        <is>
          <t>Se muestra el cronograma planeado contra el ejecutado.</t>
        </is>
      </c>
      <c r="E26" s="15" t="inlineStr">
        <is>
          <t>Verificar el criterio en el documento o evidencia correspondiente a la historia de usuario.</t>
        </is>
      </c>
      <c r="F26" s="15" t="inlineStr">
        <is>
          <t>Alta</t>
        </is>
      </c>
      <c r="G26" s="15" t="inlineStr">
        <is>
          <t>PENDIENTE</t>
        </is>
      </c>
      <c r="H26" s="15" t="n"/>
    </row>
    <row r="27" ht="32" customHeight="1" s="18">
      <c r="A27" s="16" t="inlineStr">
        <is>
          <t>Gestión</t>
        </is>
      </c>
      <c r="B27" s="16" t="inlineStr">
        <is>
          <t>HU-22</t>
        </is>
      </c>
      <c r="C27" s="16" t="inlineStr">
        <is>
          <t>CA2</t>
        </is>
      </c>
      <c r="D27" s="15" t="inlineStr">
        <is>
          <t>Se muestra la diferencia entre lo estimado y lo real.</t>
        </is>
      </c>
      <c r="E27" s="15" t="inlineStr">
        <is>
          <t>Verificar el criterio en el documento o evidencia correspondiente a la historia de usuario.</t>
        </is>
      </c>
      <c r="F27" s="15" t="inlineStr">
        <is>
          <t>Alta</t>
        </is>
      </c>
      <c r="G27" s="15" t="inlineStr">
        <is>
          <t>PENDIENTE</t>
        </is>
      </c>
      <c r="H27" s="15" t="n"/>
    </row>
    <row r="28" ht="32" customHeight="1" s="18">
      <c r="A28" s="16" t="inlineStr">
        <is>
          <t>Gestión</t>
        </is>
      </c>
      <c r="B28" s="16" t="inlineStr">
        <is>
          <t>HU-22</t>
        </is>
      </c>
      <c r="C28" s="16" t="inlineStr">
        <is>
          <t>CA3</t>
        </is>
      </c>
      <c r="D28" s="15" t="inlineStr">
        <is>
          <t>Se calculan e interpretan SPI y CPI.</t>
        </is>
      </c>
      <c r="E28" s="15" t="inlineStr">
        <is>
          <t>Verificar el criterio en el documento o evidencia correspondiente a la historia de usuario.</t>
        </is>
      </c>
      <c r="F28" s="15" t="inlineStr">
        <is>
          <t>Alta</t>
        </is>
      </c>
      <c r="G28" s="15" t="inlineStr">
        <is>
          <t>PENDIENTE</t>
        </is>
      </c>
      <c r="H28" s="15" t="n"/>
    </row>
    <row r="29" ht="32" customHeight="1" s="18">
      <c r="A29" s="16" t="inlineStr">
        <is>
          <t>Gestión</t>
        </is>
      </c>
      <c r="B29" s="16" t="inlineStr">
        <is>
          <t>HU-22</t>
        </is>
      </c>
      <c r="C29" s="16" t="inlineStr">
        <is>
          <t>CA4</t>
        </is>
      </c>
      <c r="D29" s="15" t="inlineStr">
        <is>
          <t>Cada cambio tiene fecha, descripción, impacto y decisión.</t>
        </is>
      </c>
      <c r="E29" s="15" t="inlineStr">
        <is>
          <t>Verificar el criterio en el documento o evidencia correspondiente a la historia de usuario.</t>
        </is>
      </c>
      <c r="F29" s="15" t="inlineStr">
        <is>
          <t>Alta</t>
        </is>
      </c>
      <c r="G29" s="15" t="inlineStr">
        <is>
          <t>PENDIENTE</t>
        </is>
      </c>
      <c r="H29" s="15" t="n"/>
    </row>
    <row r="30" ht="32" customHeight="1" s="18">
      <c r="A30" s="16" t="inlineStr">
        <is>
          <t>Gestión</t>
        </is>
      </c>
      <c r="B30" s="16" t="inlineStr">
        <is>
          <t>HU-22</t>
        </is>
      </c>
      <c r="C30" s="16" t="inlineStr">
        <is>
          <t>CA5</t>
        </is>
      </c>
      <c r="D30" s="15" t="inlineStr">
        <is>
          <t>El documento resuelto (Word, Excel o imagen) queda subido.</t>
        </is>
      </c>
      <c r="E30" s="15" t="inlineStr">
        <is>
          <t>Verificar el criterio en el documento o evidencia correspondiente a la historia de usuario.</t>
        </is>
      </c>
      <c r="F30" s="15" t="inlineStr">
        <is>
          <t>Alta</t>
        </is>
      </c>
      <c r="G30" s="15" t="inlineStr">
        <is>
          <t>PENDIENTE</t>
        </is>
      </c>
      <c r="H30" s="15" t="n"/>
    </row>
    <row r="31" ht="32" customHeight="1" s="18">
      <c r="A31" s="16" t="inlineStr">
        <is>
          <t>Gestión</t>
        </is>
      </c>
      <c r="B31" s="16" t="inlineStr">
        <is>
          <t>HU-23</t>
        </is>
      </c>
      <c r="C31" s="16" t="inlineStr">
        <is>
          <t>CA1</t>
        </is>
      </c>
      <c r="D31" s="15" t="inlineStr">
        <is>
          <t>Cada historia tiene al menos un caso de prueba.</t>
        </is>
      </c>
      <c r="E31" s="15" t="inlineStr">
        <is>
          <t>Verificar el criterio en el documento o evidencia correspondiente a la historia de usuario.</t>
        </is>
      </c>
      <c r="F31" s="15" t="inlineStr">
        <is>
          <t>Alta</t>
        </is>
      </c>
      <c r="G31" s="15" t="inlineStr">
        <is>
          <t>PENDIENTE</t>
        </is>
      </c>
      <c r="H31" s="15" t="n"/>
    </row>
    <row r="32" ht="32" customHeight="1" s="18">
      <c r="A32" s="16" t="inlineStr">
        <is>
          <t>Gestión</t>
        </is>
      </c>
      <c r="B32" s="16" t="inlineStr">
        <is>
          <t>HU-23</t>
        </is>
      </c>
      <c r="C32" s="16" t="inlineStr">
        <is>
          <t>CA2</t>
        </is>
      </c>
      <c r="D32" s="15" t="inlineStr">
        <is>
          <t>Se prueba la carga con un archivo distinto al de desarrollo.</t>
        </is>
      </c>
      <c r="E32" s="15" t="inlineStr">
        <is>
          <t>Verificar el criterio en el documento o evidencia correspondiente a la historia de usuario.</t>
        </is>
      </c>
      <c r="F32" s="15" t="inlineStr">
        <is>
          <t>Alta</t>
        </is>
      </c>
      <c r="G32" s="15" t="inlineStr">
        <is>
          <t>PENDIENTE</t>
        </is>
      </c>
      <c r="H32" s="15" t="n"/>
    </row>
    <row r="33" ht="32" customHeight="1" s="18">
      <c r="A33" s="16" t="inlineStr">
        <is>
          <t>Gestión</t>
        </is>
      </c>
      <c r="B33" s="16" t="inlineStr">
        <is>
          <t>HU-23</t>
        </is>
      </c>
      <c r="C33" s="16" t="inlineStr">
        <is>
          <t>CA3</t>
        </is>
      </c>
      <c r="D33" s="15" t="inlineStr">
        <is>
          <t>Los errores encontrados quedan registrados y corregidos.</t>
        </is>
      </c>
      <c r="E33" s="15" t="inlineStr">
        <is>
          <t>Verificar el criterio en el documento o evidencia correspondiente a la historia de usuario.</t>
        </is>
      </c>
      <c r="F33" s="15" t="inlineStr">
        <is>
          <t>Alta</t>
        </is>
      </c>
      <c r="G33" s="15" t="inlineStr">
        <is>
          <t>PENDIENTE</t>
        </is>
      </c>
      <c r="H33" s="15" t="n"/>
    </row>
    <row r="34" ht="32" customHeight="1" s="18">
      <c r="A34" s="16" t="inlineStr">
        <is>
          <t>Gestión</t>
        </is>
      </c>
      <c r="B34" s="16" t="inlineStr">
        <is>
          <t>HU-23</t>
        </is>
      </c>
      <c r="C34" s="16" t="inlineStr">
        <is>
          <t>CA4</t>
        </is>
      </c>
      <c r="D34" s="15" t="inlineStr">
        <is>
          <t>El plan y la evidencia quedan como anexo del informe.</t>
        </is>
      </c>
      <c r="E34" s="15" t="inlineStr">
        <is>
          <t>Verificar el criterio en el documento o evidencia correspondiente a la historia de usuario.</t>
        </is>
      </c>
      <c r="F34" s="15" t="inlineStr">
        <is>
          <t>Alta</t>
        </is>
      </c>
      <c r="G34" s="15" t="inlineStr">
        <is>
          <t>PENDIENTE</t>
        </is>
      </c>
      <c r="H34" s="15" t="n"/>
    </row>
    <row r="35" ht="32" customHeight="1" s="18">
      <c r="A35" s="16" t="inlineStr">
        <is>
          <t>Gestión</t>
        </is>
      </c>
      <c r="B35" s="16" t="inlineStr">
        <is>
          <t>HU-24</t>
        </is>
      </c>
      <c r="C35" s="16" t="inlineStr">
        <is>
          <t>CA1</t>
        </is>
      </c>
      <c r="D35" s="15" t="inlineStr">
        <is>
          <t>Existe evidencia de la sesión de validación.</t>
        </is>
      </c>
      <c r="E35" s="15" t="inlineStr">
        <is>
          <t>Verificar el criterio en el documento o evidencia correspondiente a la historia de usuario.</t>
        </is>
      </c>
      <c r="F35" s="15" t="inlineStr">
        <is>
          <t>Alta</t>
        </is>
      </c>
      <c r="G35" s="15" t="inlineStr">
        <is>
          <t>PENDIENTE</t>
        </is>
      </c>
      <c r="H35" s="15" t="n"/>
    </row>
    <row r="36" ht="32" customHeight="1" s="18">
      <c r="A36" s="16" t="inlineStr">
        <is>
          <t>Gestión</t>
        </is>
      </c>
      <c r="B36" s="16" t="inlineStr">
        <is>
          <t>HU-24</t>
        </is>
      </c>
      <c r="C36" s="16" t="inlineStr">
        <is>
          <t>CA2</t>
        </is>
      </c>
      <c r="D36" s="15" t="inlineStr">
        <is>
          <t>Las observaciones quedan registradas.</t>
        </is>
      </c>
      <c r="E36" s="15" t="inlineStr">
        <is>
          <t>Verificar el criterio en el documento o evidencia correspondiente a la historia de usuario.</t>
        </is>
      </c>
      <c r="F36" s="15" t="inlineStr">
        <is>
          <t>Alta</t>
        </is>
      </c>
      <c r="G36" s="15" t="inlineStr">
        <is>
          <t>PENDIENTE</t>
        </is>
      </c>
      <c r="H36" s="15" t="n"/>
    </row>
    <row r="37" ht="32" customHeight="1" s="18">
      <c r="A37" s="16" t="inlineStr">
        <is>
          <t>Gestión</t>
        </is>
      </c>
      <c r="B37" s="16" t="inlineStr">
        <is>
          <t>HU-24</t>
        </is>
      </c>
      <c r="C37" s="16" t="inlineStr">
        <is>
          <t>CA3</t>
        </is>
      </c>
      <c r="D37" s="15" t="inlineStr">
        <is>
          <t>Se indica qué observaciones se atendieron.</t>
        </is>
      </c>
      <c r="E37" s="15" t="inlineStr">
        <is>
          <t>Verificar el criterio en el documento o evidencia correspondiente a la historia de usuario.</t>
        </is>
      </c>
      <c r="F37" s="15" t="inlineStr">
        <is>
          <t>Alta</t>
        </is>
      </c>
      <c r="G37" s="15" t="inlineStr">
        <is>
          <t>PENDIENTE</t>
        </is>
      </c>
      <c r="H37" s="15" t="n"/>
    </row>
    <row r="38" ht="32" customHeight="1" s="18">
      <c r="A38" s="16" t="inlineStr">
        <is>
          <t>Gestión</t>
        </is>
      </c>
      <c r="B38" s="16" t="inlineStr">
        <is>
          <t>HU-24</t>
        </is>
      </c>
      <c r="C38" s="16" t="inlineStr">
        <is>
          <t>CA4</t>
        </is>
      </c>
      <c r="D38" s="15" t="inlineStr">
        <is>
          <t>Existe una aceptación formal de la aplicación.</t>
        </is>
      </c>
      <c r="E38" s="15" t="inlineStr">
        <is>
          <t>Verificar el criterio en el documento o evidencia correspondiente a la historia de usuario.</t>
        </is>
      </c>
      <c r="F38" s="15" t="inlineStr">
        <is>
          <t>Alta</t>
        </is>
      </c>
      <c r="G38" s="15" t="inlineStr">
        <is>
          <t>PENDIENTE</t>
        </is>
      </c>
      <c r="H38" s="15" t="n"/>
    </row>
    <row r="39" ht="32" customHeight="1" s="18">
      <c r="A39" s="16" t="inlineStr">
        <is>
          <t>Gestión</t>
        </is>
      </c>
      <c r="B39" s="16" t="inlineStr">
        <is>
          <t>HU-25</t>
        </is>
      </c>
      <c r="C39" s="16" t="inlineStr">
        <is>
          <t>CA1</t>
        </is>
      </c>
      <c r="D39" s="15" t="inlineStr">
        <is>
          <t>Se muestra el beneficio con su cálculo frente a la línea base.</t>
        </is>
      </c>
      <c r="E39" s="15" t="inlineStr">
        <is>
          <t>Verificar el criterio en el documento o evidencia correspondiente a la historia de usuario.</t>
        </is>
      </c>
      <c r="F39" s="15" t="inlineStr">
        <is>
          <t>Media</t>
        </is>
      </c>
      <c r="G39" s="15" t="inlineStr">
        <is>
          <t>PENDIENTE</t>
        </is>
      </c>
      <c r="H39" s="15" t="n"/>
    </row>
    <row r="40" ht="32" customHeight="1" s="18">
      <c r="A40" s="16" t="inlineStr">
        <is>
          <t>Gestión</t>
        </is>
      </c>
      <c r="B40" s="16" t="inlineStr">
        <is>
          <t>HU-25</t>
        </is>
      </c>
      <c r="C40" s="16" t="inlineStr">
        <is>
          <t>CA2</t>
        </is>
      </c>
      <c r="D40" s="15" t="inlineStr">
        <is>
          <t>Se registran al menos cinco lecciones aprendidas.</t>
        </is>
      </c>
      <c r="E40" s="15" t="inlineStr">
        <is>
          <t>Verificar el criterio en el documento o evidencia correspondiente a la historia de usuario.</t>
        </is>
      </c>
      <c r="F40" s="15" t="inlineStr">
        <is>
          <t>Media</t>
        </is>
      </c>
      <c r="G40" s="15" t="inlineStr">
        <is>
          <t>PENDIENTE</t>
        </is>
      </c>
      <c r="H40" s="15" t="n"/>
    </row>
    <row r="41" ht="32" customHeight="1" s="18">
      <c r="A41" s="16" t="inlineStr">
        <is>
          <t>Gestión</t>
        </is>
      </c>
      <c r="B41" s="16" t="inlineStr">
        <is>
          <t>HU-25</t>
        </is>
      </c>
      <c r="C41" s="16" t="inlineStr">
        <is>
          <t>CA3</t>
        </is>
      </c>
      <c r="D41" s="15" t="inlineStr">
        <is>
          <t>El plan de sostenimiento indica responsables y frecuencia.</t>
        </is>
      </c>
      <c r="E41" s="15" t="inlineStr">
        <is>
          <t>Verificar el criterio en el documento o evidencia correspondiente a la historia de usuario.</t>
        </is>
      </c>
      <c r="F41" s="15" t="inlineStr">
        <is>
          <t>Media</t>
        </is>
      </c>
      <c r="G41" s="15" t="inlineStr">
        <is>
          <t>PENDIENTE</t>
        </is>
      </c>
      <c r="H41" s="15" t="n"/>
    </row>
    <row r="42" ht="32" customHeight="1" s="18">
      <c r="A42" s="16" t="inlineStr">
        <is>
          <t>Gestión</t>
        </is>
      </c>
      <c r="B42" s="16" t="inlineStr">
        <is>
          <t>HU-25</t>
        </is>
      </c>
      <c r="C42" s="16" t="inlineStr">
        <is>
          <t>CA4</t>
        </is>
      </c>
      <c r="D42" s="15" t="inlineStr">
        <is>
          <t>Existe un acta de cierre.</t>
        </is>
      </c>
      <c r="E42" s="15" t="inlineStr">
        <is>
          <t>Verificar el criterio en el documento o evidencia correspondiente a la historia de usuario.</t>
        </is>
      </c>
      <c r="F42" s="15" t="inlineStr">
        <is>
          <t>Media</t>
        </is>
      </c>
      <c r="G42" s="15" t="inlineStr">
        <is>
          <t>PENDIENTE</t>
        </is>
      </c>
      <c r="H42" s="15" t="n"/>
    </row>
    <row r="43" ht="32" customHeight="1" s="18">
      <c r="A43" s="16" t="inlineStr">
        <is>
          <t>Gestión</t>
        </is>
      </c>
      <c r="B43" s="16" t="inlineStr">
        <is>
          <t>HU-25</t>
        </is>
      </c>
      <c r="C43" s="16" t="inlineStr">
        <is>
          <t>CA5</t>
        </is>
      </c>
      <c r="D43" s="15" t="inlineStr">
        <is>
          <t>El documento resuelto (Word, Excel o imagen) queda subido.</t>
        </is>
      </c>
      <c r="E43" s="15" t="inlineStr">
        <is>
          <t>Verificar el criterio en el documento o evidencia correspondiente a la historia de usuario.</t>
        </is>
      </c>
      <c r="F43" s="15" t="inlineStr">
        <is>
          <t>Media</t>
        </is>
      </c>
      <c r="G43" s="15" t="inlineStr">
        <is>
          <t>PENDIENTE</t>
        </is>
      </c>
      <c r="H43" s="15" t="n"/>
    </row>
    <row r="44" ht="32" customHeight="1" s="18">
      <c r="A44" s="16" t="inlineStr">
        <is>
          <t>Gestión</t>
        </is>
      </c>
      <c r="B44" s="16" t="inlineStr">
        <is>
          <t>HU-26</t>
        </is>
      </c>
      <c r="C44" s="16" t="inlineStr">
        <is>
          <t>CA1</t>
        </is>
      </c>
      <c r="D44" s="15" t="inlineStr">
        <is>
          <t>La presentación tiene máximo 8 diapositivas.</t>
        </is>
      </c>
      <c r="E44" s="15" t="inlineStr">
        <is>
          <t>Verificar el criterio en el documento o evidencia correspondiente a la historia de usuario.</t>
        </is>
      </c>
      <c r="F44" s="15" t="inlineStr">
        <is>
          <t>Alta</t>
        </is>
      </c>
      <c r="G44" s="15" t="inlineStr">
        <is>
          <t>PENDIENTE</t>
        </is>
      </c>
      <c r="H44" s="15" t="n"/>
    </row>
    <row r="45" ht="32" customHeight="1" s="18">
      <c r="A45" s="16" t="inlineStr">
        <is>
          <t>Gestión</t>
        </is>
      </c>
      <c r="B45" s="16" t="inlineStr">
        <is>
          <t>HU-26</t>
        </is>
      </c>
      <c r="C45" s="16" t="inlineStr">
        <is>
          <t>CA2</t>
        </is>
      </c>
      <c r="D45" s="15" t="inlineStr">
        <is>
          <t>Todos los integrantes tienen una parte asignada.</t>
        </is>
      </c>
      <c r="E45" s="15" t="inlineStr">
        <is>
          <t>Verificar el criterio en el documento o evidencia correspondiente a la historia de usuario.</t>
        </is>
      </c>
      <c r="F45" s="15" t="inlineStr">
        <is>
          <t>Alta</t>
        </is>
      </c>
      <c r="G45" s="15" t="inlineStr">
        <is>
          <t>PENDIENTE</t>
        </is>
      </c>
      <c r="H45" s="15" t="n"/>
    </row>
    <row r="46" ht="32" customHeight="1" s="18">
      <c r="A46" s="16" t="inlineStr">
        <is>
          <t>Gestión</t>
        </is>
      </c>
      <c r="B46" s="16" t="inlineStr">
        <is>
          <t>HU-26</t>
        </is>
      </c>
      <c r="C46" s="16" t="inlineStr">
        <is>
          <t>CA3</t>
        </is>
      </c>
      <c r="D46" s="15" t="inlineStr">
        <is>
          <t>El pitch dura máximo 60 segundos.</t>
        </is>
      </c>
      <c r="E46" s="15" t="inlineStr">
        <is>
          <t>Verificar el criterio en el documento o evidencia correspondiente a la historia de usuario.</t>
        </is>
      </c>
      <c r="F46" s="15" t="inlineStr">
        <is>
          <t>Alta</t>
        </is>
      </c>
      <c r="G46" s="15" t="inlineStr">
        <is>
          <t>PENDIENTE</t>
        </is>
      </c>
      <c r="H46" s="15" t="n"/>
    </row>
    <row r="47" ht="32" customHeight="1" s="18">
      <c r="A47" s="16" t="inlineStr">
        <is>
          <t>Gestión</t>
        </is>
      </c>
      <c r="B47" s="16" t="inlineStr">
        <is>
          <t>HU-26</t>
        </is>
      </c>
      <c r="C47" s="16" t="inlineStr">
        <is>
          <t>CA4</t>
        </is>
      </c>
      <c r="D47" s="15" t="inlineStr">
        <is>
          <t>La demostración genera el tablero con un archivo nuevo.</t>
        </is>
      </c>
      <c r="E47" s="15" t="inlineStr">
        <is>
          <t>Verificar el criterio en el documento o evidencia correspondiente a la historia de usuario.</t>
        </is>
      </c>
      <c r="F47" s="15" t="inlineStr">
        <is>
          <t>Alta</t>
        </is>
      </c>
      <c r="G47" s="15" t="inlineStr">
        <is>
          <t>PENDIENTE</t>
        </is>
      </c>
      <c r="H47" s="15" t="n"/>
    </row>
    <row r="48" ht="26" customHeight="1" s="18">
      <c r="A48" s="16" t="inlineStr">
        <is>
          <t>Aplicación</t>
        </is>
      </c>
      <c r="B48" s="16" t="inlineStr">
        <is>
          <t>HU-01</t>
        </is>
      </c>
      <c r="C48" s="16" t="inlineStr">
        <is>
          <t>CA1</t>
        </is>
      </c>
      <c r="D48" s="15" t="inlineStr">
        <is>
          <t>CA1. El repositorio tiene las carpetas Frontend/, Backend/ y Docs/ con el código de esta historia.</t>
        </is>
      </c>
      <c r="E48" s="15" t="inlineStr">
        <is>
          <t>Verificar la funcionalidad en la aplicación, contrastar el resultado con el criterio y conservar evidencia de la prueba.</t>
        </is>
      </c>
      <c r="F48" s="15" t="inlineStr">
        <is>
          <t>Alta</t>
        </is>
      </c>
      <c r="G48" s="15" t="inlineStr">
        <is>
          <t>CUMPLE</t>
        </is>
      </c>
      <c r="H48" s="15" t="inlineStr">
        <is>
          <t>Carpetas Frontend/, Backend/ y Docs/ creadas con archivos estructurados (HTML, CSS, JS, Apps Script).</t>
        </is>
      </c>
    </row>
    <row r="49" ht="26" customHeight="1" s="18">
      <c r="A49" s="16" t="inlineStr">
        <is>
          <t>Aplicación</t>
        </is>
      </c>
      <c r="B49" s="16" t="inlineStr">
        <is>
          <t>HU-01</t>
        </is>
      </c>
      <c r="C49" s="16" t="inlineStr">
        <is>
          <t>CA2</t>
        </is>
      </c>
      <c r="D49" s="15" t="inlineStr">
        <is>
          <t>CA2. Al abrir Frontend/index.html se ven los módulos Tablero y Cargar datos y se puede pasar de uno a otro.</t>
        </is>
      </c>
      <c r="E49" s="15" t="inlineStr">
        <is>
          <t>Verificar la funcionalidad en la aplicación, contrastar el resultado con el criterio y conservar evidencia de la prueba.</t>
        </is>
      </c>
      <c r="F49" s="15" t="inlineStr">
        <is>
          <t>Alta</t>
        </is>
      </c>
      <c r="G49" s="15" t="inlineStr">
        <is>
          <t>CUMPLE</t>
        </is>
      </c>
      <c r="H49" s="15" t="inlineStr">
        <is>
          <t>Navegación entre Tablero y Cargar datos operativa mediante función irA(vista) en app.js sin recarga de página.</t>
        </is>
      </c>
    </row>
    <row r="50" ht="26" customHeight="1" s="18">
      <c r="A50" s="16" t="inlineStr">
        <is>
          <t>Aplicación</t>
        </is>
      </c>
      <c r="B50" s="16" t="inlineStr">
        <is>
          <t>HU-01</t>
        </is>
      </c>
      <c r="C50" s="16" t="inlineStr">
        <is>
          <t>CA3</t>
        </is>
      </c>
      <c r="D50" s="15" t="inlineStr">
        <is>
          <t>CA3. Docs/Arquitectura.md y Docs/Decisiones_Tecnicas.md explican la arquitectura y por qué se eligió la tecnología.</t>
        </is>
      </c>
      <c r="E50" s="15" t="inlineStr">
        <is>
          <t>Verificar la funcionalidad en la aplicación, contrastar el resultado con el criterio y conservar evidencia de la prueba.</t>
        </is>
      </c>
      <c r="F50" s="15" t="inlineStr">
        <is>
          <t>Alta</t>
        </is>
      </c>
      <c r="G50" s="15" t="inlineStr">
        <is>
          <t>CUMPLE</t>
        </is>
      </c>
      <c r="H50" s="15" t="inlineStr">
        <is>
          <t>Docs/Arquitectura.md con diagrama Mermaid completo y Decisiones_Tecnicas.md con matriz ponderada de selección tecnológica.</t>
        </is>
      </c>
    </row>
    <row r="51" ht="26" customHeight="1" s="18">
      <c r="A51" s="16" t="inlineStr">
        <is>
          <t>Aplicación</t>
        </is>
      </c>
      <c r="B51" s="16" t="inlineStr">
        <is>
          <t>HU-01</t>
        </is>
      </c>
      <c r="C51" s="16" t="inlineStr">
        <is>
          <t>CA4</t>
        </is>
      </c>
      <c r="D51" s="15" t="inlineStr">
        <is>
          <t>CA4. El README describe la arquitectura real (sin Google Sheets).</t>
        </is>
      </c>
      <c r="E51" s="15" t="inlineStr">
        <is>
          <t>Verificar la funcionalidad en la aplicación, contrastar el resultado con el criterio y conservar evidencia de la prueba.</t>
        </is>
      </c>
      <c r="F51" s="15" t="inlineStr">
        <is>
          <t>Alta</t>
        </is>
      </c>
      <c r="G51" s="15" t="inlineStr">
        <is>
          <t>CUMPLE</t>
        </is>
      </c>
      <c r="H51" s="15" t="inlineStr">
        <is>
          <t>README.md describe la arquitectura real de cliente puro con SheetJS en navegador, sin Google Sheets ni bases de datos.</t>
        </is>
      </c>
    </row>
    <row r="52" ht="26" customHeight="1" s="18">
      <c r="A52" s="16" t="inlineStr">
        <is>
          <t>Aplicación</t>
        </is>
      </c>
      <c r="B52" s="16" t="inlineStr">
        <is>
          <t>HU-02</t>
        </is>
      </c>
      <c r="C52" s="16" t="inlineStr">
        <is>
          <t>CA1</t>
        </is>
      </c>
      <c r="D52" s="15" t="inlineStr">
        <is>
          <t>CA1. La plantilla tiene las 9 hojas con los encabezados del diccionario.</t>
        </is>
      </c>
      <c r="E52" s="15" t="inlineStr">
        <is>
          <t>Verificar la funcionalidad en la aplicación, contrastar el resultado con el criterio y conservar evidencia de la prueba.</t>
        </is>
      </c>
      <c r="F52" s="15" t="inlineStr">
        <is>
          <t>Alta</t>
        </is>
      </c>
      <c r="G52" s="15" t="inlineStr">
        <is>
          <t>CUMPLE</t>
        </is>
      </c>
      <c r="H52" s="15" t="inlineStr">
        <is>
          <t>Plantilla Base_Panaderia_Indicadores_plantilla.xlsx cuenta exactamente con 9 hojas (4 Dim y 5 Fact) y encabezados normalizados.</t>
        </is>
      </c>
    </row>
    <row r="53" ht="26" customHeight="1" s="18">
      <c r="A53" s="16" t="inlineStr">
        <is>
          <t>Aplicación</t>
        </is>
      </c>
      <c r="B53" s="16" t="inlineStr">
        <is>
          <t>HU-02</t>
        </is>
      </c>
      <c r="C53" s="16" t="inlineStr">
        <is>
          <t>CA2</t>
        </is>
      </c>
      <c r="D53" s="15" t="inlineStr">
        <is>
          <t>CA2. Las tablas Dim traen los valores de los supuestos de simulación.</t>
        </is>
      </c>
      <c r="E53" s="15" t="inlineStr">
        <is>
          <t>Verificar la funcionalidad en la aplicación, contrastar el resultado con el criterio y conservar evidencia de la prueba.</t>
        </is>
      </c>
      <c r="F53" s="15" t="inlineStr">
        <is>
          <t>Alta</t>
        </is>
      </c>
      <c r="G53" s="15" t="inlineStr">
        <is>
          <t>CUMPLE</t>
        </is>
      </c>
      <c r="H53" s="15" t="inlineStr">
        <is>
          <t>Tablas Dim_Producto (PR_01), Dim_Turno (T1/T2), Dim_MotivoParo (MP_01 a MP_08) y Dim_Operario vienen precargadas según supuestos.</t>
        </is>
      </c>
    </row>
    <row r="54" ht="26" customHeight="1" s="18">
      <c r="A54" s="16" t="inlineStr">
        <is>
          <t>Aplicación</t>
        </is>
      </c>
      <c r="B54" s="16" t="inlineStr">
        <is>
          <t>HU-02</t>
        </is>
      </c>
      <c r="C54" s="16" t="inlineStr">
        <is>
          <t>CA3</t>
        </is>
      </c>
      <c r="D54" s="15" t="inlineStr">
        <is>
          <t>CA3. El botón descarga la plantilla desde la aplicación.</t>
        </is>
      </c>
      <c r="E54" s="15" t="inlineStr">
        <is>
          <t>Verificar la funcionalidad en la aplicación, contrastar el resultado con el criterio y conservar evidencia de la prueba.</t>
        </is>
      </c>
      <c r="F54" s="15" t="inlineStr">
        <is>
          <t>Alta</t>
        </is>
      </c>
      <c r="G54" s="15" t="inlineStr">
        <is>
          <t>CUMPLE</t>
        </is>
      </c>
      <c r="H54" s="15" t="inlineStr">
        <is>
          <t>Botón «Descargar plantilla de Excel» implementado en Frontend/index.html apuntando a datos/Base_Panaderia_Indicadores_plantilla.xlsx.</t>
        </is>
      </c>
    </row>
    <row r="55" ht="26" customHeight="1" s="18">
      <c r="A55" s="16" t="inlineStr">
        <is>
          <t>Aplicación</t>
        </is>
      </c>
      <c r="B55" s="16" t="inlineStr">
        <is>
          <t>HU-02</t>
        </is>
      </c>
      <c r="C55" s="16" t="inlineStr">
        <is>
          <t>CA4</t>
        </is>
      </c>
      <c r="D55" s="15" t="inlineStr">
        <is>
          <t>CA4. El diccionario documenta cada campo y las fórmulas de las fichas técnicas.</t>
        </is>
      </c>
      <c r="E55" s="15" t="inlineStr">
        <is>
          <t>Verificar la funcionalidad en la aplicación, contrastar el resultado con el criterio y conservar evidencia de la prueba.</t>
        </is>
      </c>
      <c r="F55" s="15" t="inlineStr">
        <is>
          <t>Alta</t>
        </is>
      </c>
      <c r="G55" s="15" t="inlineStr">
        <is>
          <t>CUMPLE</t>
        </is>
      </c>
      <c r="H55" s="15" t="inlineStr">
        <is>
          <t>Docs/Diccionario_Datos.md documenta tipos de datos, reglas de validación por campo y fichas técnicas con fórmulas de los 7 indicadores.</t>
        </is>
      </c>
    </row>
    <row r="56" ht="26" customHeight="1" s="18">
      <c r="A56" s="16" t="inlineStr">
        <is>
          <t>Aplicación</t>
        </is>
      </c>
      <c r="B56" s="16" t="inlineStr">
        <is>
          <t>HU-03</t>
        </is>
      </c>
      <c r="C56" s="16" t="inlineStr">
        <is>
          <t>CA1</t>
        </is>
      </c>
      <c r="D56" s="15" t="inlineStr">
        <is>
          <t>CA1. El script genera el mismo archivo cada vez que se ejecuta con la misma semilla.</t>
        </is>
      </c>
      <c r="E56" s="15" t="inlineStr">
        <is>
          <t>Verificar la funcionalidad en la aplicación, contrastar el resultado con el criterio y conservar evidencia de la prueba.</t>
        </is>
      </c>
      <c r="F56" s="15" t="inlineStr">
        <is>
          <t>Alta</t>
        </is>
      </c>
      <c r="G56" s="21" t="inlineStr">
        <is>
          <t>CUMPLE</t>
        </is>
      </c>
      <c r="H56" s="9" t="inlineStr">
        <is>
          <t>CUMPLE — Script simular_datos.py genera datos deterministas con semilla fija (np.random.seed(42)). Se verificó reproducibilidad bit a bit.</t>
        </is>
      </c>
    </row>
    <row r="57" ht="26" customHeight="1" s="18">
      <c r="A57" s="16" t="inlineStr">
        <is>
          <t>Aplicación</t>
        </is>
      </c>
      <c r="B57" s="16" t="inlineStr">
        <is>
          <t>HU-03</t>
        </is>
      </c>
      <c r="C57" s="16" t="inlineStr">
        <is>
          <t>CA2</t>
        </is>
      </c>
      <c r="D57" s="15" t="inlineStr">
        <is>
          <t>CA2. El libro tiene la estructura de la plantilla y la hoja Verificacion (OEE 67,70 %, SLA 92,11 %, % no vendido 2,27 %, productividad 8,03).</t>
        </is>
      </c>
      <c r="E57" s="15" t="inlineStr">
        <is>
          <t>Verificar la funcionalidad en la aplicación, contrastar el resultado con el criterio y conservar evidencia de la prueba.</t>
        </is>
      </c>
      <c r="F57" s="15" t="inlineStr">
        <is>
          <t>Alta</t>
        </is>
      </c>
      <c r="G57" s="21" t="inlineStr">
        <is>
          <t>CUMPLE</t>
        </is>
      </c>
      <c r="H57" s="9" t="inlineStr">
        <is>
          <t>CUMPLE — Base_Panaderia_Indicadores_2026-09.xlsx cuenta con las 9 hojas relacionales + hoja Verificacion. Valores exactos: OEE 67.70%, SLA 92.11%, % no vendido 2.27%, productividad 8.03 ud/h.</t>
        </is>
      </c>
    </row>
    <row r="58" ht="26" customHeight="1" s="18">
      <c r="A58" s="16" t="inlineStr">
        <is>
          <t>Aplicación</t>
        </is>
      </c>
      <c r="B58" s="16" t="inlineStr">
        <is>
          <t>HU-03</t>
        </is>
      </c>
      <c r="C58" s="16" t="inlineStr">
        <is>
          <t>CA3</t>
        </is>
      </c>
      <c r="D58" s="15" t="inlineStr">
        <is>
          <t>CA3. El archivo se declara como simulado con autorización del docente.</t>
        </is>
      </c>
      <c r="E58" s="15" t="inlineStr">
        <is>
          <t>Verificar la funcionalidad en la aplicación, contrastar el resultado con el criterio y conservar evidencia de la prueba.</t>
        </is>
      </c>
      <c r="F58" s="15" t="inlineStr">
        <is>
          <t>Alta</t>
        </is>
      </c>
      <c r="G58" s="21" t="inlineStr">
        <is>
          <t>CUMPLE</t>
        </is>
      </c>
      <c r="H58" s="9" t="inlineStr">
        <is>
          <t>CUMPLE — Datos declarados explícitamente como simulados mediante Montecarlo con autorización docente en metadatos, script y documentación.</t>
        </is>
      </c>
    </row>
    <row r="59" ht="26" customHeight="1" s="18">
      <c r="A59" s="16" t="inlineStr">
        <is>
          <t>Aplicación</t>
        </is>
      </c>
      <c r="B59" s="16" t="inlineStr">
        <is>
          <t>HU-03</t>
        </is>
      </c>
      <c r="C59" s="16" t="inlineStr">
        <is>
          <t>CA4</t>
        </is>
      </c>
      <c r="D59" s="15" t="inlineStr">
        <is>
          <t>CA4. El botón «Descargar datos simulados» funciona.</t>
        </is>
      </c>
      <c r="E59" s="15" t="inlineStr">
        <is>
          <t>Verificar la funcionalidad en la aplicación, contrastar el resultado con el criterio y conservar evidencia de la prueba.</t>
        </is>
      </c>
      <c r="F59" s="15" t="inlineStr">
        <is>
          <t>Alta</t>
        </is>
      </c>
      <c r="G59" s="21" t="inlineStr">
        <is>
          <t>CUMPLE</t>
        </is>
      </c>
      <c r="H59" s="9" t="inlineStr">
        <is>
          <t>CUMPLE — Enlace y botón funcional en interfaz descargando Base_Panaderia_Indicadores_2026-09.xlsx desde Frontend y Backend/Index.html.</t>
        </is>
      </c>
    </row>
    <row r="60" ht="26" customHeight="1" s="18">
      <c r="A60" s="16" t="inlineStr">
        <is>
          <t>Aplicación</t>
        </is>
      </c>
      <c r="B60" s="16" t="inlineStr">
        <is>
          <t>HU-04</t>
        </is>
      </c>
      <c r="C60" s="16" t="inlineStr">
        <is>
          <t>CA1</t>
        </is>
      </c>
      <c r="D60" s="15" t="inlineStr">
        <is>
          <t>CA1. Al soltar un .xlsx la aplicación muestra sus hojas y número de filas.</t>
        </is>
      </c>
      <c r="E60" s="15" t="inlineStr">
        <is>
          <t>Verificar la funcionalidad en la aplicación, contrastar el resultado con el criterio y conservar evidencia de la prueba.</t>
        </is>
      </c>
      <c r="F60" s="15" t="inlineStr">
        <is>
          <t>Alta</t>
        </is>
      </c>
      <c r="G60" s="21" t="inlineStr">
        <is>
          <t>CUMPLE</t>
        </is>
      </c>
      <c r="H60" s="9" t="inlineStr">
        <is>
          <t>CUMPLE — La zona drag-and-drop lee archivos .xlsx con SheetJS v0.18.5 y despliega en tiempo real la tabla con nombre de cada hoja, conteo de filas y encabezados.</t>
        </is>
      </c>
    </row>
    <row r="61" ht="26" customHeight="1" s="18">
      <c r="A61" s="16" t="inlineStr">
        <is>
          <t>Aplicación</t>
        </is>
      </c>
      <c r="B61" s="16" t="inlineStr">
        <is>
          <t>HU-04</t>
        </is>
      </c>
      <c r="C61" s="16" t="inlineStr">
        <is>
          <t>CA2</t>
        </is>
      </c>
      <c r="D61" s="15" t="inlineStr">
        <is>
          <t>CA2. Un archivo que no es Excel muestra un mensaje de error claro.</t>
        </is>
      </c>
      <c r="E61" s="15" t="inlineStr">
        <is>
          <t>Verificar la funcionalidad en la aplicación, contrastar el resultado con el criterio y conservar evidencia de la prueba.</t>
        </is>
      </c>
      <c r="F61" s="15" t="inlineStr">
        <is>
          <t>Alta</t>
        </is>
      </c>
      <c r="G61" s="21" t="inlineStr">
        <is>
          <t>CUMPLE</t>
        </is>
      </c>
      <c r="H61" s="9" t="inlineStr">
        <is>
          <t>CUMPLE — Archivos no Excel (e.g. .pdf, .txt) disparan validación con regex y despliegan mensaje de advertencia: «Use un libro de Excel (.xlsx) con la estructura de la plantilla.»</t>
        </is>
      </c>
    </row>
    <row r="62" ht="26" customHeight="1" s="18">
      <c r="A62" s="16" t="inlineStr">
        <is>
          <t>Aplicación</t>
        </is>
      </c>
      <c r="B62" s="16" t="inlineStr">
        <is>
          <t>HU-04</t>
        </is>
      </c>
      <c r="C62" s="16" t="inlineStr">
        <is>
          <t>CA3</t>
        </is>
      </c>
      <c r="D62" s="15" t="inlineStr">
        <is>
          <t>CA3. «Usar datos de ejemplo» carga el mes simulado.</t>
        </is>
      </c>
      <c r="E62" s="15" t="inlineStr">
        <is>
          <t>Verificar la funcionalidad en la aplicación, contrastar el resultado con el criterio y conservar evidencia de la prueba.</t>
        </is>
      </c>
      <c r="F62" s="15" t="inlineStr">
        <is>
          <t>Alta</t>
        </is>
      </c>
      <c r="G62" s="21" t="inlineStr">
        <is>
          <t>CUMPLE</t>
        </is>
      </c>
      <c r="H62" s="9" t="inlineStr">
        <is>
          <t>CUMPLE — Botón «Usar datos de ejemplo» carga el objeto global window.DATOS_EJEMPLO con el mes simulado (septiembre 2026, 9 hojas).</t>
        </is>
      </c>
    </row>
    <row r="63" ht="26" customHeight="1" s="18">
      <c r="A63" s="16" t="inlineStr">
        <is>
          <t>Aplicación</t>
        </is>
      </c>
      <c r="B63" s="16" t="inlineStr">
        <is>
          <t>HU-04</t>
        </is>
      </c>
      <c r="C63" s="16" t="inlineStr">
        <is>
          <t>CA4</t>
        </is>
      </c>
      <c r="D63" s="15" t="inlineStr">
        <is>
          <t>CA4. npm test pasa (3 pruebas).</t>
        </is>
      </c>
      <c r="E63" s="15" t="inlineStr">
        <is>
          <t>Verificar la funcionalidad en la aplicación, contrastar el resultado con el criterio y conservar evidencia de la prueba.</t>
        </is>
      </c>
      <c r="F63" s="15" t="inlineStr">
        <is>
          <t>Alta</t>
        </is>
      </c>
      <c r="G63" s="21" t="inlineStr">
        <is>
          <t>CUMPLE</t>
        </is>
      </c>
      <c r="H63" s="9" t="inlineStr">
        <is>
          <t>CUMPLE — Suite de pruebas automatizadas en Tests/lectura.test.js validada al 100% (3 pruebas exitosas de normalización, números y fechas).</t>
        </is>
      </c>
    </row>
    <row r="64" ht="26" customHeight="1" s="18">
      <c r="A64" s="16" t="inlineStr">
        <is>
          <t>Aplicación</t>
        </is>
      </c>
      <c r="B64" s="16" t="inlineStr">
        <is>
          <t>HU-05</t>
        </is>
      </c>
      <c r="C64" s="16" t="inlineStr">
        <is>
          <t>CA1</t>
        </is>
      </c>
      <c r="D64" s="15" t="inlineStr">
        <is>
          <t>CA1. Con el archivo de septiembre reconoce las 9 tablas y 0 filas con errores.</t>
        </is>
      </c>
      <c r="E64" s="15" t="inlineStr">
        <is>
          <t>Verificar la funcionalidad en la aplicación, contrastar el resultado con el criterio y conservar evidencia de la prueba.</t>
        </is>
      </c>
      <c r="F64" s="15" t="inlineStr">
        <is>
          <t>Alta</t>
        </is>
      </c>
      <c r="G64" s="21" t="inlineStr">
        <is>
          <t>CUMPLE</t>
        </is>
      </c>
      <c r="H64" s="9" t="inlineStr">
        <is>
          <t>CUMPLE — Modelo reconoce las 9 tablas relacionales en el archivo de septiembre 2026 y reporta exactamente 0 filas con errores.</t>
        </is>
      </c>
    </row>
    <row r="65" ht="26" customHeight="1" s="18">
      <c r="A65" s="16" t="inlineStr">
        <is>
          <t>Aplicación</t>
        </is>
      </c>
      <c r="B65" s="16" t="inlineStr">
        <is>
          <t>HU-05</t>
        </is>
      </c>
      <c r="C65" s="16" t="inlineStr">
        <is>
          <t>CA2</t>
        </is>
      </c>
      <c r="D65" s="15" t="inlineStr">
        <is>
          <t>CA2. Reconoce la base del curso aunque las hojas cambien de nombre.</t>
        </is>
      </c>
      <c r="E65" s="15" t="inlineStr">
        <is>
          <t>Verificar la funcionalidad en la aplicación, contrastar el resultado con el criterio y conservar evidencia de la prueba.</t>
        </is>
      </c>
      <c r="F65" s="15" t="inlineStr">
        <is>
          <t>Alta</t>
        </is>
      </c>
      <c r="G65" s="21" t="inlineStr">
        <is>
          <t>CUMPLE</t>
        </is>
      </c>
      <c r="H65" s="9" t="inlineStr">
        <is>
          <t>CUMPLE — Detección agnóstica por coincidencia de columnas requeridas y opcionales; probada con éxito renombrando hojas a Hoja1..Hoja7.</t>
        </is>
      </c>
    </row>
    <row r="66" ht="26" customHeight="1" s="18">
      <c r="A66" s="16" t="inlineStr">
        <is>
          <t>Aplicación</t>
        </is>
      </c>
      <c r="B66" s="16" t="inlineStr">
        <is>
          <t>HU-05</t>
        </is>
      </c>
      <c r="C66" s="16" t="inlineStr">
        <is>
          <t>CA3</t>
        </is>
      </c>
      <c r="D66" s="15" t="inlineStr">
        <is>
          <t>CA3. Una tanda con defectuosas mayores que producidas aparece rechazada con su número de fila.</t>
        </is>
      </c>
      <c r="E66" s="15" t="inlineStr">
        <is>
          <t>Verificar la funcionalidad en la aplicación, contrastar el resultado con el criterio y conservar evidencia de la prueba.</t>
        </is>
      </c>
      <c r="F66" s="15" t="inlineStr">
        <is>
          <t>Alta</t>
        </is>
      </c>
      <c r="G66" s="21" t="inlineStr">
        <is>
          <t>CUMPLE</t>
        </is>
      </c>
      <c r="H66" s="9" t="inlineStr">
        <is>
          <t>CUMPLE — Fila de Fact_Produccion con defectuosas &gt; producidas es rechazada, indicando hoja, fila 2 y mensaje: «las defectuosas superan a las producidas».</t>
        </is>
      </c>
    </row>
    <row r="67" ht="26" customHeight="1" s="18">
      <c r="A67" s="16" t="inlineStr">
        <is>
          <t>Aplicación</t>
        </is>
      </c>
      <c r="B67" s="16" t="inlineStr">
        <is>
          <t>HU-05</t>
        </is>
      </c>
      <c r="C67" s="16" t="inlineStr">
        <is>
          <t>CA4</t>
        </is>
      </c>
      <c r="D67" s="15" t="inlineStr">
        <is>
          <t>CA4. npm test pasa (Tests/modelo.test.js).</t>
        </is>
      </c>
      <c r="E67" s="15" t="inlineStr">
        <is>
          <t>Verificar la funcionalidad en la aplicación, contrastar el resultado con el criterio y conservar evidencia de la prueba.</t>
        </is>
      </c>
      <c r="F67" s="15" t="inlineStr">
        <is>
          <t>Alta</t>
        </is>
      </c>
      <c r="G67" s="21" t="inlineStr">
        <is>
          <t>CUMPLE</t>
        </is>
      </c>
      <c r="H67" s="9" t="inlineStr">
        <is>
          <t>CUMPLE — Suite completa de 6 pruebas unitarias en Tests/modelo.test.js validada al 100% de éxito.</t>
        </is>
      </c>
    </row>
    <row r="68" ht="26" customHeight="1" s="18">
      <c r="A68" s="16" t="inlineStr">
        <is>
          <t>Aplicación</t>
        </is>
      </c>
      <c r="B68" s="16" t="inlineStr">
        <is>
          <t>HU-06</t>
        </is>
      </c>
      <c r="C68" s="16" t="inlineStr">
        <is>
          <t>CA1</t>
        </is>
      </c>
      <c r="D68" s="15" t="inlineStr">
        <is>
          <t>CA1. Con septiembre: OEE 67,7 % (A 89,9 %, R 78,6 %, Q 95,8 %).</t>
        </is>
      </c>
      <c r="E68" s="15" t="inlineStr">
        <is>
          <t>Verificar la funcionalidad en la aplicación, contrastar el resultado con el criterio y conservar evidencia de la prueba.</t>
        </is>
      </c>
      <c r="F68" s="15" t="inlineStr">
        <is>
          <t>Alta</t>
        </is>
      </c>
      <c r="G68" s="15" t="inlineStr">
        <is>
          <t>PENDIENTE</t>
        </is>
      </c>
      <c r="H68" s="15" t="n"/>
    </row>
    <row r="69" ht="26" customHeight="1" s="18">
      <c r="A69" s="16" t="inlineStr">
        <is>
          <t>Aplicación</t>
        </is>
      </c>
      <c r="B69" s="16" t="inlineStr">
        <is>
          <t>HU-06</t>
        </is>
      </c>
      <c r="C69" s="16" t="inlineStr">
        <is>
          <t>CA2</t>
        </is>
      </c>
      <c r="D69" s="15" t="inlineStr">
        <is>
          <t>CA2. Con la base del curso: OEE 61,89 %.</t>
        </is>
      </c>
      <c r="E69" s="15" t="inlineStr">
        <is>
          <t>Verificar la funcionalidad en la aplicación, contrastar el resultado con el criterio y conservar evidencia de la prueba.</t>
        </is>
      </c>
      <c r="F69" s="15" t="inlineStr">
        <is>
          <t>Alta</t>
        </is>
      </c>
      <c r="G69" s="15" t="inlineStr">
        <is>
          <t>PENDIENTE</t>
        </is>
      </c>
      <c r="H69" s="15" t="n"/>
    </row>
    <row r="70" ht="26" customHeight="1" s="18">
      <c r="A70" s="16" t="inlineStr">
        <is>
          <t>Aplicación</t>
        </is>
      </c>
      <c r="B70" s="16" t="inlineStr">
        <is>
          <t>HU-06</t>
        </is>
      </c>
      <c r="C70" s="16" t="inlineStr">
        <is>
          <t>CA3</t>
        </is>
      </c>
      <c r="D70" s="15" t="inlineStr">
        <is>
          <t>CA3. Con octubre (archivo no usado para desarrollar): OEE 71,1 % y 42 turnos.</t>
        </is>
      </c>
      <c r="E70" s="15" t="inlineStr">
        <is>
          <t>Verificar la funcionalidad en la aplicación, contrastar el resultado con el criterio y conservar evidencia de la prueba.</t>
        </is>
      </c>
      <c r="F70" s="15" t="inlineStr">
        <is>
          <t>Alta</t>
        </is>
      </c>
      <c r="G70" s="15" t="inlineStr">
        <is>
          <t>PENDIENTE</t>
        </is>
      </c>
      <c r="H70" s="15" t="n"/>
    </row>
    <row r="71" ht="26" customHeight="1" s="18">
      <c r="A71" s="16" t="inlineStr">
        <is>
          <t>Aplicación</t>
        </is>
      </c>
      <c r="B71" s="16" t="inlineStr">
        <is>
          <t>HU-06</t>
        </is>
      </c>
      <c r="C71" s="16" t="inlineStr">
        <is>
          <t>CA4</t>
        </is>
      </c>
      <c r="D71" s="15" t="inlineStr">
        <is>
          <t>CA4. El prototipo v0 abre desde la URL /exec de Apps Script.</t>
        </is>
      </c>
      <c r="E71" s="15" t="inlineStr">
        <is>
          <t>Verificar la funcionalidad en la aplicación, contrastar el resultado con el criterio y conservar evidencia de la prueba.</t>
        </is>
      </c>
      <c r="F71" s="15" t="inlineStr">
        <is>
          <t>Alta</t>
        </is>
      </c>
      <c r="G71" s="15" t="inlineStr">
        <is>
          <t>PENDIENTE</t>
        </is>
      </c>
      <c r="H71" s="15" t="n"/>
    </row>
    <row r="72" ht="26" customHeight="1" s="18">
      <c r="A72" s="16" t="inlineStr">
        <is>
          <t>Aplicación</t>
        </is>
      </c>
      <c r="B72" s="16" t="inlineStr">
        <is>
          <t>HU-06</t>
        </is>
      </c>
      <c r="C72" s="16" t="inlineStr">
        <is>
          <t>CA5</t>
        </is>
      </c>
      <c r="D72" s="15" t="inlineStr">
        <is>
          <t>CA5. npm test pasa (Tests/oee.test.js).</t>
        </is>
      </c>
      <c r="E72" s="15" t="inlineStr">
        <is>
          <t>Verificar la funcionalidad en la aplicación, contrastar el resultado con el criterio y conservar evidencia de la prueba.</t>
        </is>
      </c>
      <c r="F72" s="15" t="inlineStr">
        <is>
          <t>Alta</t>
        </is>
      </c>
      <c r="G72" s="15" t="inlineStr">
        <is>
          <t>PENDIENTE</t>
        </is>
      </c>
      <c r="H72" s="15" t="n"/>
    </row>
    <row r="73" ht="26" customHeight="1" s="18">
      <c r="A73" s="16" t="inlineStr">
        <is>
          <t>Aplicación</t>
        </is>
      </c>
      <c r="B73" s="16" t="inlineStr">
        <is>
          <t>HU-07</t>
        </is>
      </c>
      <c r="C73" s="16" t="inlineStr">
        <is>
          <t>CA1</t>
        </is>
      </c>
      <c r="D73" s="15" t="inlineStr">
        <is>
          <t>CA1. Con septiembre: SLA 92,1 % (70 de 76 pedidos).</t>
        </is>
      </c>
      <c r="E73" s="15" t="inlineStr">
        <is>
          <t>Verificar la funcionalidad en la aplicación, contrastar el resultado con el criterio y conservar evidencia de la prueba.</t>
        </is>
      </c>
      <c r="F73" s="15" t="inlineStr">
        <is>
          <t>Alta</t>
        </is>
      </c>
      <c r="G73" s="15" t="inlineStr">
        <is>
          <t>PENDIENTE</t>
        </is>
      </c>
      <c r="H73" s="15" t="n"/>
    </row>
    <row r="74" ht="26" customHeight="1" s="18">
      <c r="A74" s="16" t="inlineStr">
        <is>
          <t>Aplicación</t>
        </is>
      </c>
      <c r="B74" s="16" t="inlineStr">
        <is>
          <t>HU-07</t>
        </is>
      </c>
      <c r="C74" s="16" t="inlineStr">
        <is>
          <t>CA2</t>
        </is>
      </c>
      <c r="D74" s="15" t="inlineStr">
        <is>
          <t>CA2. Un pedido entregado un minuto tarde o incompleto no cumple.</t>
        </is>
      </c>
      <c r="E74" s="15" t="inlineStr">
        <is>
          <t>Verificar la funcionalidad en la aplicación, contrastar el resultado con el criterio y conservar evidencia de la prueba.</t>
        </is>
      </c>
      <c r="F74" s="15" t="inlineStr">
        <is>
          <t>Alta</t>
        </is>
      </c>
      <c r="G74" s="15" t="inlineStr">
        <is>
          <t>PENDIENTE</t>
        </is>
      </c>
      <c r="H74" s="15" t="n"/>
    </row>
    <row r="75" ht="26" customHeight="1" s="18">
      <c r="A75" s="16" t="inlineStr">
        <is>
          <t>Aplicación</t>
        </is>
      </c>
      <c r="B75" s="16" t="inlineStr">
        <is>
          <t>HU-07</t>
        </is>
      </c>
      <c r="C75" s="16" t="inlineStr">
        <is>
          <t>CA3</t>
        </is>
      </c>
      <c r="D75" s="15" t="inlineStr">
        <is>
          <t>CA3. npm test pasa (Tests/sla.test.js).</t>
        </is>
      </c>
      <c r="E75" s="15" t="inlineStr">
        <is>
          <t>Verificar la funcionalidad en la aplicación, contrastar el resultado con el criterio y conservar evidencia de la prueba.</t>
        </is>
      </c>
      <c r="F75" s="15" t="inlineStr">
        <is>
          <t>Alta</t>
        </is>
      </c>
      <c r="G75" s="15" t="inlineStr">
        <is>
          <t>PENDIENTE</t>
        </is>
      </c>
      <c r="H75" s="15" t="n"/>
    </row>
    <row r="76" ht="26" customHeight="1" s="18">
      <c r="A76" s="16" t="inlineStr">
        <is>
          <t>Aplicación</t>
        </is>
      </c>
      <c r="B76" s="16" t="inlineStr">
        <is>
          <t>HU-08</t>
        </is>
      </c>
      <c r="C76" s="16" t="inlineStr">
        <is>
          <t>CA1</t>
        </is>
      </c>
      <c r="D76" s="15" t="inlineStr">
        <is>
          <t>CA1. Con septiembre: 2,3 % (dato coherente con la simulación).</t>
        </is>
      </c>
      <c r="E76" s="15" t="inlineStr">
        <is>
          <t>Verificar la funcionalidad en la aplicación, contrastar el resultado con el criterio y conservar evidencia de la prueba.</t>
        </is>
      </c>
      <c r="F76" s="15" t="inlineStr">
        <is>
          <t>Alta</t>
        </is>
      </c>
      <c r="G76" s="15" t="inlineStr">
        <is>
          <t>PENDIENTE</t>
        </is>
      </c>
      <c r="H76" s="15" t="n"/>
    </row>
    <row r="77" ht="26" customHeight="1" s="18">
      <c r="A77" s="16" t="inlineStr">
        <is>
          <t>Aplicación</t>
        </is>
      </c>
      <c r="B77" s="16" t="inlineStr">
        <is>
          <t>HU-08</t>
        </is>
      </c>
      <c r="C77" s="16" t="inlineStr">
        <is>
          <t>CA2</t>
        </is>
      </c>
      <c r="D77" s="15" t="inlineStr">
        <is>
          <t>CA2. Reconoce la tabla de ventas aunque la hoja tenga otro nombre.</t>
        </is>
      </c>
      <c r="E77" s="15" t="inlineStr">
        <is>
          <t>Verificar la funcionalidad en la aplicación, contrastar el resultado con el criterio y conservar evidencia de la prueba.</t>
        </is>
      </c>
      <c r="F77" s="15" t="inlineStr">
        <is>
          <t>Alta</t>
        </is>
      </c>
      <c r="G77" s="15" t="inlineStr">
        <is>
          <t>PENDIENTE</t>
        </is>
      </c>
      <c r="H77" s="15" t="n"/>
    </row>
    <row r="78" ht="26" customHeight="1" s="18">
      <c r="A78" s="16" t="inlineStr">
        <is>
          <t>Aplicación</t>
        </is>
      </c>
      <c r="B78" s="16" t="inlineStr">
        <is>
          <t>HU-08</t>
        </is>
      </c>
      <c r="C78" s="16" t="inlineStr">
        <is>
          <t>CA3</t>
        </is>
      </c>
      <c r="D78" s="15" t="inlineStr">
        <is>
          <t>CA3. npm test pasa (Tests/no-vendido.test.js).</t>
        </is>
      </c>
      <c r="E78" s="15" t="inlineStr">
        <is>
          <t>Verificar la funcionalidad en la aplicación, contrastar el resultado con el criterio y conservar evidencia de la prueba.</t>
        </is>
      </c>
      <c r="F78" s="15" t="inlineStr">
        <is>
          <t>Alta</t>
        </is>
      </c>
      <c r="G78" s="15" t="inlineStr">
        <is>
          <t>PENDIENTE</t>
        </is>
      </c>
      <c r="H78" s="15" t="n"/>
    </row>
    <row r="79" ht="26" customHeight="1" s="18">
      <c r="A79" s="16" t="inlineStr">
        <is>
          <t>Aplicación</t>
        </is>
      </c>
      <c r="B79" s="16" t="inlineStr">
        <is>
          <t>HU-09</t>
        </is>
      </c>
      <c r="C79" s="16" t="inlineStr">
        <is>
          <t>CA1</t>
        </is>
      </c>
      <c r="D79" s="15" t="inlineStr">
        <is>
          <t>CA1. Con septiembre: 8,03 trenzas/h-h con 652,5 horas-hombre.</t>
        </is>
      </c>
      <c r="E79" s="15" t="inlineStr">
        <is>
          <t>Verificar la funcionalidad en la aplicación, contrastar el resultado con el criterio y conservar evidencia de la prueba.</t>
        </is>
      </c>
      <c r="F79" s="15" t="inlineStr">
        <is>
          <t>Media</t>
        </is>
      </c>
      <c r="G79" s="15" t="inlineStr">
        <is>
          <t>PENDIENTE</t>
        </is>
      </c>
      <c r="H79" s="15" t="n"/>
    </row>
    <row r="80" ht="26" customHeight="1" s="18">
      <c r="A80" s="16" t="inlineStr">
        <is>
          <t>Aplicación</t>
        </is>
      </c>
      <c r="B80" s="16" t="inlineStr">
        <is>
          <t>HU-09</t>
        </is>
      </c>
      <c r="C80" s="16" t="inlineStr">
        <is>
          <t>CA2</t>
        </is>
      </c>
      <c r="D80" s="15" t="inlineStr">
        <is>
          <t>CA2. npm test pasa (Tests/productividad.test.js).</t>
        </is>
      </c>
      <c r="E80" s="15" t="inlineStr">
        <is>
          <t>Verificar la funcionalidad en la aplicación, contrastar el resultado con el criterio y conservar evidencia de la prueba.</t>
        </is>
      </c>
      <c r="F80" s="15" t="inlineStr">
        <is>
          <t>Media</t>
        </is>
      </c>
      <c r="G80" s="15" t="inlineStr">
        <is>
          <t>PENDIENTE</t>
        </is>
      </c>
      <c r="H80" s="15" t="n"/>
    </row>
    <row r="81" ht="26" customHeight="1" s="18">
      <c r="A81" s="16" t="inlineStr">
        <is>
          <t>Aplicación</t>
        </is>
      </c>
      <c r="B81" s="16" t="inlineStr">
        <is>
          <t>HU-10</t>
        </is>
      </c>
      <c r="C81" s="16" t="inlineStr">
        <is>
          <t>CA1</t>
        </is>
      </c>
      <c r="D81" s="15" t="inlineStr">
        <is>
          <t>CA1. Con septiembre el OEE se ve verde, la disponibilidad amarilla y el % no vendido verde.</t>
        </is>
      </c>
      <c r="E81" s="15" t="inlineStr">
        <is>
          <t>Verificar la funcionalidad en la aplicación, contrastar el resultado con el criterio y conservar evidencia de la prueba.</t>
        </is>
      </c>
      <c r="F81" s="15" t="inlineStr">
        <is>
          <t>Alta</t>
        </is>
      </c>
      <c r="G81" s="15" t="inlineStr">
        <is>
          <t>PENDIENTE</t>
        </is>
      </c>
      <c r="H81" s="15" t="n"/>
    </row>
    <row r="82" ht="26" customHeight="1" s="18">
      <c r="A82" s="16" t="inlineStr">
        <is>
          <t>Aplicación</t>
        </is>
      </c>
      <c r="B82" s="16" t="inlineStr">
        <is>
          <t>HU-10</t>
        </is>
      </c>
      <c r="C82" s="16" t="inlineStr">
        <is>
          <t>CA2</t>
        </is>
      </c>
      <c r="D82" s="15" t="inlineStr">
        <is>
          <t>CA2. Al cambiar la meta del OEE a 70 la tarjeta pasa a amarillo y se conserva al recargar.</t>
        </is>
      </c>
      <c r="E82" s="15" t="inlineStr">
        <is>
          <t>Verificar la funcionalidad en la aplicación, contrastar el resultado con el criterio y conservar evidencia de la prueba.</t>
        </is>
      </c>
      <c r="F82" s="15" t="inlineStr">
        <is>
          <t>Alta</t>
        </is>
      </c>
      <c r="G82" s="15" t="inlineStr">
        <is>
          <t>PENDIENTE</t>
        </is>
      </c>
      <c r="H82" s="15" t="n"/>
    </row>
    <row r="83" ht="26" customHeight="1" s="18">
      <c r="A83" s="16" t="inlineStr">
        <is>
          <t>Aplicación</t>
        </is>
      </c>
      <c r="B83" s="16" t="inlineStr">
        <is>
          <t>HU-10</t>
        </is>
      </c>
      <c r="C83" s="16" t="inlineStr">
        <is>
          <t>CA3</t>
        </is>
      </c>
      <c r="D83" s="15" t="inlineStr">
        <is>
          <t>CA3. npm test pasa (Tests/semaforo.test.js).</t>
        </is>
      </c>
      <c r="E83" s="15" t="inlineStr">
        <is>
          <t>Verificar la funcionalidad en la aplicación, contrastar el resultado con el criterio y conservar evidencia de la prueba.</t>
        </is>
      </c>
      <c r="F83" s="15" t="inlineStr">
        <is>
          <t>Alta</t>
        </is>
      </c>
      <c r="G83" s="15" t="inlineStr">
        <is>
          <t>PENDIENTE</t>
        </is>
      </c>
      <c r="H83" s="15" t="n"/>
    </row>
    <row r="84" ht="26" customHeight="1" s="18">
      <c r="A84" s="16" t="inlineStr">
        <is>
          <t>Aplicación</t>
        </is>
      </c>
      <c r="B84" s="16" t="inlineStr">
        <is>
          <t>HU-11</t>
        </is>
      </c>
      <c r="C84" s="16" t="inlineStr">
        <is>
          <t>CA1</t>
        </is>
      </c>
      <c r="D84" s="15" t="inlineStr">
        <is>
          <t>CA1. Del 7 al 11 de septiembre se ven 5 días y 10 turnos.</t>
        </is>
      </c>
      <c r="E84" s="15" t="inlineStr">
        <is>
          <t>Verificar la funcionalidad en la aplicación, contrastar el resultado con el criterio y conservar evidencia de la prueba.</t>
        </is>
      </c>
      <c r="F84" s="15" t="inlineStr">
        <is>
          <t>Media</t>
        </is>
      </c>
      <c r="G84" s="15" t="inlineStr">
        <is>
          <t>PENDIENTE</t>
        </is>
      </c>
      <c r="H84" s="15" t="n"/>
    </row>
    <row r="85" ht="26" customHeight="1" s="18">
      <c r="A85" s="16" t="inlineStr">
        <is>
          <t>Aplicación</t>
        </is>
      </c>
      <c r="B85" s="16" t="inlineStr">
        <is>
          <t>HU-11</t>
        </is>
      </c>
      <c r="C85" s="16" t="inlineStr">
        <is>
          <t>CA2</t>
        </is>
      </c>
      <c r="D85" s="15" t="inlineStr">
        <is>
          <t>CA2. Con el turno T1 se ven 22 turnos y el % no vendido en N/D.</t>
        </is>
      </c>
      <c r="E85" s="15" t="inlineStr">
        <is>
          <t>Verificar la funcionalidad en la aplicación, contrastar el resultado con el criterio y conservar evidencia de la prueba.</t>
        </is>
      </c>
      <c r="F85" s="15" t="inlineStr">
        <is>
          <t>Media</t>
        </is>
      </c>
      <c r="G85" s="15" t="inlineStr">
        <is>
          <t>PENDIENTE</t>
        </is>
      </c>
      <c r="H85" s="15" t="n"/>
    </row>
    <row r="86" ht="26" customHeight="1" s="18">
      <c r="A86" s="16" t="inlineStr">
        <is>
          <t>Aplicación</t>
        </is>
      </c>
      <c r="B86" s="16" t="inlineStr">
        <is>
          <t>HU-11</t>
        </is>
      </c>
      <c r="C86" s="16" t="inlineStr">
        <is>
          <t>CA3</t>
        </is>
      </c>
      <c r="D86" s="15" t="inlineStr">
        <is>
          <t>CA3. npm test pasa (Tests/filtros.test.js).</t>
        </is>
      </c>
      <c r="E86" s="15" t="inlineStr">
        <is>
          <t>Verificar la funcionalidad en la aplicación, contrastar el resultado con el criterio y conservar evidencia de la prueba.</t>
        </is>
      </c>
      <c r="F86" s="15" t="inlineStr">
        <is>
          <t>Media</t>
        </is>
      </c>
      <c r="G86" s="15" t="inlineStr">
        <is>
          <t>PENDIENTE</t>
        </is>
      </c>
      <c r="H86" s="15" t="n"/>
    </row>
    <row r="87" ht="26" customHeight="1" s="18">
      <c r="A87" s="16" t="inlineStr">
        <is>
          <t>Aplicación</t>
        </is>
      </c>
      <c r="B87" s="16" t="inlineStr">
        <is>
          <t>HU-12</t>
        </is>
      </c>
      <c r="C87" s="16" t="inlineStr">
        <is>
          <t>CA1</t>
        </is>
      </c>
      <c r="D87" s="15" t="inlineStr">
        <is>
          <t>CA1. Con septiembre se dibujan 6 gráficos sin errores.</t>
        </is>
      </c>
      <c r="E87" s="15" t="inlineStr">
        <is>
          <t>Verificar la funcionalidad en la aplicación, contrastar el resultado con el criterio y conservar evidencia de la prueba.</t>
        </is>
      </c>
      <c r="F87" s="15" t="inlineStr">
        <is>
          <t>Media</t>
        </is>
      </c>
      <c r="G87" s="15" t="inlineStr">
        <is>
          <t>PENDIENTE</t>
        </is>
      </c>
      <c r="H87" s="15" t="n"/>
    </row>
    <row r="88" ht="26" customHeight="1" s="18">
      <c r="A88" s="16" t="inlineStr">
        <is>
          <t>Aplicación</t>
        </is>
      </c>
      <c r="B88" s="16" t="inlineStr">
        <is>
          <t>HU-12</t>
        </is>
      </c>
      <c r="C88" s="16" t="inlineStr">
        <is>
          <t>CA2</t>
        </is>
      </c>
      <c r="D88" s="15" t="inlineStr">
        <is>
          <t>CA2. El Pareto queda ordenado de mayor a menor y su acumulado llega a 100 %.</t>
        </is>
      </c>
      <c r="E88" s="15" t="inlineStr">
        <is>
          <t>Verificar la funcionalidad en la aplicación, contrastar el resultado con el criterio y conservar evidencia de la prueba.</t>
        </is>
      </c>
      <c r="F88" s="15" t="inlineStr">
        <is>
          <t>Media</t>
        </is>
      </c>
      <c r="G88" s="15" t="inlineStr">
        <is>
          <t>PENDIENTE</t>
        </is>
      </c>
      <c r="H88" s="15" t="n"/>
    </row>
    <row r="89" ht="26" customHeight="1" s="18">
      <c r="A89" s="16" t="inlineStr">
        <is>
          <t>Aplicación</t>
        </is>
      </c>
      <c r="B89" s="16" t="inlineStr">
        <is>
          <t>HU-12</t>
        </is>
      </c>
      <c r="C89" s="16" t="inlineStr">
        <is>
          <t>CA3</t>
        </is>
      </c>
      <c r="D89" s="15" t="inlineStr">
        <is>
          <t>CA3. npm test pasa (Tests/graficos.test.js).</t>
        </is>
      </c>
      <c r="E89" s="15" t="inlineStr">
        <is>
          <t>Verificar la funcionalidad en la aplicación, contrastar el resultado con el criterio y conservar evidencia de la prueba.</t>
        </is>
      </c>
      <c r="F89" s="15" t="inlineStr">
        <is>
          <t>Media</t>
        </is>
      </c>
      <c r="G89" s="15" t="inlineStr">
        <is>
          <t>PENDIENTE</t>
        </is>
      </c>
      <c r="H89" s="15" t="n"/>
    </row>
    <row r="90" ht="26" customHeight="1" s="18">
      <c r="A90" s="16" t="inlineStr">
        <is>
          <t>Aplicación</t>
        </is>
      </c>
      <c r="B90" s="16" t="inlineStr">
        <is>
          <t>HU-13</t>
        </is>
      </c>
      <c r="C90" s="16" t="inlineStr">
        <is>
          <t>CA1</t>
        </is>
      </c>
      <c r="D90" s="15" t="inlineStr">
        <is>
          <t>CA1. Con septiembre se muestran 8 hallazgos coherentes con las tarjetas.</t>
        </is>
      </c>
      <c r="E90" s="15" t="inlineStr">
        <is>
          <t>Verificar la funcionalidad en la aplicación, contrastar el resultado con el criterio y conservar evidencia de la prueba.</t>
        </is>
      </c>
      <c r="F90" s="15" t="inlineStr">
        <is>
          <t>Media</t>
        </is>
      </c>
      <c r="G90" s="15" t="inlineStr">
        <is>
          <t>PENDIENTE</t>
        </is>
      </c>
      <c r="H90" s="15" t="n"/>
    </row>
    <row r="91" ht="26" customHeight="1" s="18">
      <c r="A91" s="16" t="inlineStr">
        <is>
          <t>Aplicación</t>
        </is>
      </c>
      <c r="B91" s="16" t="inlineStr">
        <is>
          <t>HU-13</t>
        </is>
      </c>
      <c r="C91" s="16" t="inlineStr">
        <is>
          <t>CA2</t>
        </is>
      </c>
      <c r="D91" s="15" t="inlineStr">
        <is>
          <t>CA2. Cuando el filtro no deja registros, el panel lo dice.</t>
        </is>
      </c>
      <c r="E91" s="15" t="inlineStr">
        <is>
          <t>Verificar la funcionalidad en la aplicación, contrastar el resultado con el criterio y conservar evidencia de la prueba.</t>
        </is>
      </c>
      <c r="F91" s="15" t="inlineStr">
        <is>
          <t>Media</t>
        </is>
      </c>
      <c r="G91" s="15" t="inlineStr">
        <is>
          <t>PENDIENTE</t>
        </is>
      </c>
      <c r="H91" s="15" t="n"/>
    </row>
    <row r="92" ht="26" customHeight="1" s="18">
      <c r="A92" s="16" t="inlineStr">
        <is>
          <t>Aplicación</t>
        </is>
      </c>
      <c r="B92" s="16" t="inlineStr">
        <is>
          <t>HU-14</t>
        </is>
      </c>
      <c r="C92" s="16" t="inlineStr">
        <is>
          <t>CA1</t>
        </is>
      </c>
      <c r="D92" s="15" t="inlineStr">
        <is>
          <t>CA1. El CSV abre en Excel con columnas separadas y decimales con coma.</t>
        </is>
      </c>
      <c r="E92" s="15" t="inlineStr">
        <is>
          <t>Verificar la funcionalidad en la aplicación, contrastar el resultado con el criterio y conservar evidencia de la prueba.</t>
        </is>
      </c>
      <c r="F92" s="15" t="inlineStr">
        <is>
          <t>Baja</t>
        </is>
      </c>
      <c r="G92" s="15" t="inlineStr">
        <is>
          <t>PENDIENTE</t>
        </is>
      </c>
      <c r="H92" s="15" t="n"/>
    </row>
    <row r="93" ht="26" customHeight="1" s="18">
      <c r="A93" s="16" t="inlineStr">
        <is>
          <t>Aplicación</t>
        </is>
      </c>
      <c r="B93" s="16" t="inlineStr">
        <is>
          <t>HU-14</t>
        </is>
      </c>
      <c r="C93" s="16" t="inlineStr">
        <is>
          <t>CA2</t>
        </is>
      </c>
      <c r="D93" s="15" t="inlineStr">
        <is>
          <t>CA2. La impresión muestra tarjetas y gráficos sin los botones.</t>
        </is>
      </c>
      <c r="E93" s="15" t="inlineStr">
        <is>
          <t>Verificar la funcionalidad en la aplicación, contrastar el resultado con el criterio y conservar evidencia de la prueba.</t>
        </is>
      </c>
      <c r="F93" s="15" t="inlineStr">
        <is>
          <t>Baja</t>
        </is>
      </c>
      <c r="G93" s="15" t="inlineStr">
        <is>
          <t>PENDIENTE</t>
        </is>
      </c>
      <c r="H93" s="15" t="n"/>
    </row>
    <row r="94" ht="26" customHeight="1" s="18">
      <c r="A94" s="16" t="inlineStr">
        <is>
          <t>Aplicación</t>
        </is>
      </c>
      <c r="B94" s="16" t="inlineStr">
        <is>
          <t>HU-15</t>
        </is>
      </c>
      <c r="C94" s="16" t="inlineStr">
        <is>
          <t>CA1</t>
        </is>
      </c>
      <c r="D94" s="15" t="inlineStr">
        <is>
          <t>CA1. Con octubre: 42 turnos y los 7 indicadores iguales a la hoja Verificacion.</t>
        </is>
      </c>
      <c r="E94" s="15" t="inlineStr">
        <is>
          <t>Verificar la funcionalidad en la aplicación, contrastar el resultado con el criterio y conservar evidencia de la prueba.</t>
        </is>
      </c>
      <c r="F94" s="15" t="inlineStr">
        <is>
          <t>Alta</t>
        </is>
      </c>
      <c r="G94" s="15" t="inlineStr">
        <is>
          <t>PENDIENTE</t>
        </is>
      </c>
      <c r="H94" s="15" t="n"/>
    </row>
    <row r="95" ht="26" customHeight="1" s="18">
      <c r="A95" s="16" t="inlineStr">
        <is>
          <t>Aplicación</t>
        </is>
      </c>
      <c r="B95" s="16" t="inlineStr">
        <is>
          <t>HU-15</t>
        </is>
      </c>
      <c r="C95" s="16" t="inlineStr">
        <is>
          <t>CA2</t>
        </is>
      </c>
      <c r="D95" s="15" t="inlineStr">
        <is>
          <t>CA2. Con la base del curso: OEE 61,9 % y gráfico por equipo.</t>
        </is>
      </c>
      <c r="E95" s="15" t="inlineStr">
        <is>
          <t>Verificar la funcionalidad en la aplicación, contrastar el resultado con el criterio y conservar evidencia de la prueba.</t>
        </is>
      </c>
      <c r="F95" s="15" t="inlineStr">
        <is>
          <t>Alta</t>
        </is>
      </c>
      <c r="G95" s="15" t="inlineStr">
        <is>
          <t>PENDIENTE</t>
        </is>
      </c>
      <c r="H95" s="15" t="n"/>
    </row>
    <row r="96" ht="26" customHeight="1" s="18">
      <c r="A96" s="16" t="inlineStr">
        <is>
          <t>Aplicación</t>
        </is>
      </c>
      <c r="B96" s="16" t="inlineStr">
        <is>
          <t>HU-15</t>
        </is>
      </c>
      <c r="C96" s="16" t="inlineStr">
        <is>
          <t>CA3</t>
        </is>
      </c>
      <c r="D96" s="15" t="inlineStr">
        <is>
          <t>CA3. npm test: 33 pruebas aprobadas.</t>
        </is>
      </c>
      <c r="E96" s="15" t="inlineStr">
        <is>
          <t>Verificar la funcionalidad en la aplicación, contrastar el resultado con el criterio y conservar evidencia de la prueba.</t>
        </is>
      </c>
      <c r="F96" s="15" t="inlineStr">
        <is>
          <t>Alta</t>
        </is>
      </c>
      <c r="G96" s="15" t="inlineStr">
        <is>
          <t>PENDIENTE</t>
        </is>
      </c>
      <c r="H96" s="15" t="n"/>
    </row>
    <row r="97" ht="26" customHeight="1" s="18">
      <c r="A97" s="16" t="inlineStr">
        <is>
          <t>Aplicación</t>
        </is>
      </c>
      <c r="B97" s="16" t="inlineStr">
        <is>
          <t>HU-15</t>
        </is>
      </c>
      <c r="C97" s="16" t="inlineStr">
        <is>
          <t>CA4</t>
        </is>
      </c>
      <c r="D97" s="15" t="inlineStr">
        <is>
          <t>CA4. Los casos E1 a E11 quedan registrados con su resultado.</t>
        </is>
      </c>
      <c r="E97" s="15" t="inlineStr">
        <is>
          <t>Verificar la funcionalidad en la aplicación, contrastar el resultado con el criterio y conservar evidencia de la prueba.</t>
        </is>
      </c>
      <c r="F97" s="15" t="inlineStr">
        <is>
          <t>Alta</t>
        </is>
      </c>
      <c r="G97" s="15" t="inlineStr">
        <is>
          <t>PENDIENTE</t>
        </is>
      </c>
      <c r="H97" s="15" t="n"/>
    </row>
    <row r="98" ht="26" customHeight="1" s="18">
      <c r="A98" s="16" t="inlineStr">
        <is>
          <t>Aplicación</t>
        </is>
      </c>
      <c r="B98" s="16" t="inlineStr">
        <is>
          <t>HU-16</t>
        </is>
      </c>
      <c r="C98" s="16" t="inlineStr">
        <is>
          <t>CA1</t>
        </is>
      </c>
      <c r="D98" s="15" t="inlineStr">
        <is>
          <t>CA1. La URL /exec abre la versión final y genera el tablero con el archivo de octubre.</t>
        </is>
      </c>
      <c r="E98" s="15" t="inlineStr">
        <is>
          <t>Verificar la funcionalidad en la aplicación, contrastar el resultado con el criterio y conservar evidencia de la prueba.</t>
        </is>
      </c>
      <c r="F98" s="15" t="inlineStr">
        <is>
          <t>Alta</t>
        </is>
      </c>
      <c r="G98" s="15" t="inlineStr">
        <is>
          <t>PENDIENTE</t>
        </is>
      </c>
      <c r="H98" s="15" t="n"/>
    </row>
    <row r="99" ht="26" customHeight="1" s="18">
      <c r="A99" s="16" t="inlineStr">
        <is>
          <t>Aplicación</t>
        </is>
      </c>
      <c r="B99" s="16" t="inlineStr">
        <is>
          <t>HU-16</t>
        </is>
      </c>
      <c r="C99" s="16" t="inlineStr">
        <is>
          <t>CA2</t>
        </is>
      </c>
      <c r="D99" s="15" t="inlineStr">
        <is>
          <t>CA2. El enlace de GitHub Pages abre la misma aplicación.</t>
        </is>
      </c>
      <c r="E99" s="15" t="inlineStr">
        <is>
          <t>Verificar la funcionalidad en la aplicación, contrastar el resultado con el criterio y conservar evidencia de la prueba.</t>
        </is>
      </c>
      <c r="F99" s="15" t="inlineStr">
        <is>
          <t>Alta</t>
        </is>
      </c>
      <c r="G99" s="15" t="inlineStr">
        <is>
          <t>PENDIENTE</t>
        </is>
      </c>
      <c r="H99" s="15" t="n"/>
    </row>
    <row r="100" ht="26" customHeight="1" s="18">
      <c r="A100" s="16" t="inlineStr">
        <is>
          <t>Aplicación</t>
        </is>
      </c>
      <c r="B100" s="16" t="inlineStr">
        <is>
          <t>HU-16</t>
        </is>
      </c>
      <c r="C100" s="16" t="inlineStr">
        <is>
          <t>CA3</t>
        </is>
      </c>
      <c r="D100" s="15" t="inlineStr">
        <is>
          <t>CA3. El manual explica cómo preparar los datos, generar y leer el tablero.</t>
        </is>
      </c>
      <c r="E100" s="15" t="inlineStr">
        <is>
          <t>Verificar la funcionalidad en la aplicación, contrastar el resultado con el criterio y conservar evidencia de la prueba.</t>
        </is>
      </c>
      <c r="F100" s="15" t="inlineStr">
        <is>
          <t>Alta</t>
        </is>
      </c>
      <c r="G100" s="15" t="inlineStr">
        <is>
          <t>PENDIENTE</t>
        </is>
      </c>
      <c r="H100" s="15" t="n"/>
    </row>
    <row r="101" ht="26" customHeight="1" s="18">
      <c r="A101" s="8" t="n"/>
      <c r="B101" s="8" t="n"/>
      <c r="C101" s="8" t="n"/>
      <c r="D101" s="9" t="n"/>
      <c r="E101" s="9" t="n"/>
      <c r="F101" s="10" t="n"/>
      <c r="G101" s="10" t="n"/>
      <c r="H101" s="9" t="n"/>
    </row>
  </sheetData>
  <autoFilter ref="A4:H100"/>
  <mergeCells count="2">
    <mergeCell ref="A2:H2"/>
    <mergeCell ref="A1:H1"/>
  </mergeCells>
  <conditionalFormatting sqref="G5:G101">
    <cfRule type="cellIs" priority="1" operator="equal" dxfId="3" stopIfTrue="1">
      <formula>"CUMPLE"</formula>
    </cfRule>
    <cfRule type="cellIs" priority="2" operator="equal" dxfId="2" stopIfTrue="1">
      <formula>"NO CUMPLE"</formula>
    </cfRule>
    <cfRule type="cellIs" priority="3" operator="equal" dxfId="1" stopIfTrue="1">
      <formula>"PARCIAL"</formula>
    </cfRule>
    <cfRule type="cellIs" priority="4" operator="equal" dxfId="0" stopIfTrue="1">
      <formula>"PENDIENTE"</formula>
    </cfRule>
  </conditionalFormatting>
  <dataValidations count="1">
    <dataValidation sqref="G5:G101" showDropDown="0" showInputMessage="0" showErrorMessage="0" allowBlank="1" type="list">
      <formula1>"CUMPLE,NO CUMPLE,PARCIAL,PENDIENTE"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10" defaultColWidth="8.83203125" defaultRowHeight="15"/>
  <cols>
    <col width="12" customWidth="1" style="18" min="1" max="1"/>
    <col width="28" customWidth="1" style="18" min="2" max="2"/>
    <col width="25" customWidth="1" style="18" min="3" max="3"/>
    <col width="38" customWidth="1" style="18" min="4" max="4"/>
    <col width="28" customWidth="1" style="18" min="5" max="5"/>
    <col width="38" customWidth="1" style="18" min="6" max="6"/>
    <col width="25" customWidth="1" style="18" min="7" max="7"/>
    <col width="18" customWidth="1" style="18" min="8" max="8"/>
  </cols>
  <sheetData>
    <row r="1" ht="25" customHeight="1" s="18">
      <c r="A1" s="19" t="inlineStr">
        <is>
          <t>PLAN DE PRUEBAS FUNCIONALES Y VERIFICACIÓN MATEMÁTICA DE INDICADORES</t>
        </is>
      </c>
    </row>
    <row r="2" ht="18" customHeight="1" s="18">
      <c r="A2" s="20" t="inlineStr">
        <is>
          <t>Pruebas de caja negra para certificar la aplicación web y asegurar una demostración sin fallos (HU-23 y HU-15).</t>
        </is>
      </c>
    </row>
    <row r="4" ht="28" customHeight="1" s="18">
      <c r="A4" s="4" t="inlineStr">
        <is>
          <t>ID Caso</t>
        </is>
      </c>
      <c r="B4" s="4" t="inlineStr">
        <is>
          <t>Módulo / Funcionalidad</t>
        </is>
      </c>
      <c r="C4" s="4" t="inlineStr">
        <is>
          <t>Precondición</t>
        </is>
      </c>
      <c r="D4" s="4" t="inlineStr">
        <is>
          <t>Pasos de Ejecución</t>
        </is>
      </c>
      <c r="E4" s="4" t="inlineStr">
        <is>
          <t>Datos de Entrada / Archivo</t>
        </is>
      </c>
      <c r="F4" s="4" t="inlineStr">
        <is>
          <t>Resultado Esperado</t>
        </is>
      </c>
      <c r="G4" s="4" t="inlineStr">
        <is>
          <t>Resultado Obtenido</t>
        </is>
      </c>
      <c r="H4" s="4" t="inlineStr">
        <is>
          <t>Estado (Desplegable)</t>
        </is>
      </c>
    </row>
    <row r="5" ht="34" customHeight="1" s="18">
      <c r="A5" s="8" t="inlineStr">
        <is>
          <t>CP-01</t>
        </is>
      </c>
      <c r="B5" s="9" t="inlineStr">
        <is>
          <t>Carga de Archivo Excel</t>
        </is>
      </c>
      <c r="C5" s="9" t="inlineStr">
        <is>
          <t>Aplicación abierta en el navegador</t>
        </is>
      </c>
      <c r="D5" s="9" t="inlineStr">
        <is>
          <t>1. Clic en 'Seleccionar archivo'
2. Escoger 'Base_Panaderia_Indicadores.xlsx'
3. Clic en Procesar</t>
        </is>
      </c>
      <c r="E5" s="9" t="inlineStr">
        <is>
          <t>Base_Panaderia_Indicadores.xlsx</t>
        </is>
      </c>
      <c r="F5" s="9" t="inlineStr">
        <is>
          <t>El sistema lee el archivo en memoria sin errores y notifica 'Archivo cargado con éxito'</t>
        </is>
      </c>
      <c r="G5" s="10" t="inlineStr">
        <is>
          <t>PENDIENTE</t>
        </is>
      </c>
      <c r="H5" s="10" t="inlineStr">
        <is>
          <t>PENDIENTE</t>
        </is>
      </c>
    </row>
    <row r="6" ht="34" customHeight="1" s="18">
      <c r="A6" s="5" t="inlineStr">
        <is>
          <t>CP-02</t>
        </is>
      </c>
      <c r="B6" s="6" t="inlineStr">
        <is>
          <t>Validación de Estructura de Tablas</t>
        </is>
      </c>
      <c r="C6" s="6" t="inlineStr">
        <is>
          <t>Archivo cargado</t>
        </is>
      </c>
      <c r="D6" s="6" t="inlineStr">
        <is>
          <t>1. El sistema inspecciona nombres de columnas de Producción, Paradas, Ventas y Despachos</t>
        </is>
      </c>
      <c r="E6" s="6" t="inlineStr">
        <is>
          <t>Columnas del libro de Excel</t>
        </is>
      </c>
      <c r="F6" s="6" t="inlineStr">
        <is>
          <t>Reconoce automáticamente las tablas y valida que los tipos de datos sean correctos</t>
        </is>
      </c>
      <c r="G6" s="7" t="inlineStr">
        <is>
          <t>PENDIENTE</t>
        </is>
      </c>
      <c r="H6" s="7" t="inlineStr">
        <is>
          <t>PENDIENTE</t>
        </is>
      </c>
    </row>
    <row r="7" ht="34" customHeight="1" s="18">
      <c r="A7" s="8" t="inlineStr">
        <is>
          <t>CP-03</t>
        </is>
      </c>
      <c r="B7" s="9" t="inlineStr">
        <is>
          <t>Cálculo del Indicador OEE del Horno</t>
        </is>
      </c>
      <c r="C7" s="9" t="inlineStr">
        <is>
          <t>Datos de producción y paradas cargados</t>
        </is>
      </c>
      <c r="D7" s="9" t="inlineStr">
        <is>
          <t>1. Ir a tarjeta OEE
2. Comparar Disponibilidad × Rendimiento × Calidad con cálculo manual</t>
        </is>
      </c>
      <c r="E7" s="9" t="inlineStr">
        <is>
          <t>Tiempo operativo, paradas, unidades programadas y unidades conformes</t>
        </is>
      </c>
      <c r="F7" s="9" t="inlineStr">
        <is>
          <t>El valor del OEE coincide exactamente con el cálculo manual (A x R x Q)</t>
        </is>
      </c>
      <c r="G7" s="10" t="inlineStr">
        <is>
          <t>PENDIENTE</t>
        </is>
      </c>
      <c r="H7" s="10" t="inlineStr">
        <is>
          <t>PENDIENTE</t>
        </is>
      </c>
    </row>
    <row r="8" ht="34" customHeight="1" s="18">
      <c r="A8" s="5" t="inlineStr">
        <is>
          <t>CP-04</t>
        </is>
      </c>
      <c r="B8" s="6" t="inlineStr">
        <is>
          <t>Cálculo del Indicador SLA (Nivel de Servicio)</t>
        </is>
      </c>
      <c r="C8" s="6" t="inlineStr">
        <is>
          <t>Datos de despachos cargados</t>
        </is>
      </c>
      <c r="D8" s="6" t="inlineStr">
        <is>
          <t>1. Ir a tarjeta SLA
2. Verificar fórmula: Pedidos a tiempo y completos / Total pedidos</t>
        </is>
      </c>
      <c r="E8" s="6" t="inlineStr">
        <is>
          <t>Despachos totales vs despachos a tiempo y conformes</t>
        </is>
      </c>
      <c r="F8" s="6" t="inlineStr">
        <is>
          <t>El porcentaje de SLA refleja exactamente la proporción matemática sin desfases</t>
        </is>
      </c>
      <c r="G8" s="7" t="inlineStr">
        <is>
          <t>PENDIENTE</t>
        </is>
      </c>
      <c r="H8" s="7" t="inlineStr">
        <is>
          <t>PENDIENTE</t>
        </is>
      </c>
    </row>
    <row r="9" ht="34" customHeight="1" s="18">
      <c r="A9" s="8" t="inlineStr">
        <is>
          <t>CP-05</t>
        </is>
      </c>
      <c r="B9" s="9" t="inlineStr">
        <is>
          <t>Cálculo del % No Vendido</t>
        </is>
      </c>
      <c r="C9" s="9" t="inlineStr">
        <is>
          <t>Datos de producción y ventas cargados</t>
        </is>
      </c>
      <c r="D9" s="9" t="inlineStr">
        <is>
          <t>1. Ir a tarjeta % No Vendido
2. Aplicar: (Unidades buenas - Unidades vendidas) / Unidades buenas</t>
        </is>
      </c>
      <c r="E9" s="9" t="inlineStr">
        <is>
          <t>Unidades buenas producidas vs vendidas</t>
        </is>
      </c>
      <c r="F9" s="9" t="inlineStr">
        <is>
          <t>El indicador muestra el porcentaje exacto de merma/pan sobrante</t>
        </is>
      </c>
      <c r="G9" s="10" t="inlineStr">
        <is>
          <t>PENDIENTE</t>
        </is>
      </c>
      <c r="H9" s="10" t="inlineStr">
        <is>
          <t>PENDIENTE</t>
        </is>
      </c>
    </row>
    <row r="10" ht="34" customHeight="1" s="18">
      <c r="A10" s="5" t="inlineStr">
        <is>
          <t>CP-06</t>
        </is>
      </c>
      <c r="B10" s="6" t="inlineStr">
        <is>
          <t>Cálculo de Productividad</t>
        </is>
      </c>
      <c r="C10" s="6" t="inlineStr">
        <is>
          <t>Datos de personal y producción cargados</t>
        </is>
      </c>
      <c r="D10" s="6" t="inlineStr">
        <is>
          <t>1. Ir a tarjeta Productividad
2. Aplicar: Unidades buenas / Horas-hombre empleadas</t>
        </is>
      </c>
      <c r="E10" s="6" t="inlineStr">
        <is>
          <t>Unidades conformes y horas trabajadas por operarios</t>
        </is>
      </c>
      <c r="F10" s="6" t="inlineStr">
        <is>
          <t>Muestra unidades de pan trenza producidas por hora-hombre con unidades claras</t>
        </is>
      </c>
      <c r="G10" s="7" t="inlineStr">
        <is>
          <t>PENDIENTE</t>
        </is>
      </c>
      <c r="H10" s="7" t="inlineStr">
        <is>
          <t>PENDIENTE</t>
        </is>
      </c>
    </row>
    <row r="11" ht="34" customHeight="1" s="18">
      <c r="A11" s="8" t="inlineStr">
        <is>
          <t>CP-07</t>
        </is>
      </c>
      <c r="B11" s="9" t="inlineStr">
        <is>
          <t>Filtros Interactivos del Dashboard</t>
        </is>
      </c>
      <c r="C11" s="9" t="inlineStr">
        <is>
          <t>Tablero visualizado con datos</t>
        </is>
      </c>
      <c r="D11" s="9" t="inlineStr">
        <is>
          <t>1. Cambiar selector de Turno (Turno 1 / Turno 2)
2. Cambiar rango de fechas
3. Observar recálculo de tarjetas</t>
        </is>
      </c>
      <c r="E11" s="9" t="inlineStr">
        <is>
          <t>Filtro: Turno 1 (06:00-14:00)</t>
        </is>
      </c>
      <c r="F11" s="9" t="inlineStr">
        <is>
          <t>Todos los gráficos e indicadores se recalculan dinámicamente según el filtro seleccionado</t>
        </is>
      </c>
      <c r="G11" s="10" t="inlineStr">
        <is>
          <t>PENDIENTE</t>
        </is>
      </c>
      <c r="H11" s="10" t="inlineStr">
        <is>
          <t>PENDIENTE</t>
        </is>
      </c>
    </row>
    <row r="12" ht="34" customHeight="1" s="18">
      <c r="A12" s="5" t="inlineStr">
        <is>
          <t>CP-08</t>
        </is>
      </c>
      <c r="B12" s="6" t="inlineStr">
        <is>
          <t>Prueba con Archivo Distinto (HU-15)</t>
        </is>
      </c>
      <c r="C12" s="6" t="inlineStr">
        <is>
          <t>Aplicación abierta</t>
        </is>
      </c>
      <c r="D12" s="6" t="inlineStr">
        <is>
          <t>1. Cargar archivo simulado alternativo con fechas y volúmenes diferentes al de desarrollo</t>
        </is>
      </c>
      <c r="E12" s="6" t="inlineStr">
        <is>
          <t>Archivo de prueba alternativo (sustentación)</t>
        </is>
      </c>
      <c r="F12" s="6" t="inlineStr">
        <is>
          <t>La aplicación procesa los nuevos datos limpiamente sin quedarse congelada</t>
        </is>
      </c>
      <c r="G12" s="7" t="inlineStr">
        <is>
          <t>PENDIENTE</t>
        </is>
      </c>
      <c r="H12" s="7" t="inlineStr">
        <is>
          <t>PENDIENTE</t>
        </is>
      </c>
    </row>
  </sheetData>
  <mergeCells count="2">
    <mergeCell ref="A2:H2"/>
    <mergeCell ref="A1:H1"/>
  </mergeCells>
  <conditionalFormatting sqref="H5:H12">
    <cfRule type="cellIs" priority="1" operator="equal" dxfId="3" stopIfTrue="1">
      <formula>"APROBADO"</formula>
    </cfRule>
    <cfRule type="cellIs" priority="2" operator="equal" dxfId="2" stopIfTrue="1">
      <formula>"RECHAZADO"</formula>
    </cfRule>
    <cfRule type="cellIs" priority="3" operator="equal" dxfId="1" stopIfTrue="1">
      <formula>"EN REVISIÓN"</formula>
    </cfRule>
    <cfRule type="cellIs" priority="4" operator="equal" dxfId="0" stopIfTrue="1">
      <formula>"PENDIENTE"</formula>
    </cfRule>
  </conditionalFormatting>
  <dataValidations count="1">
    <dataValidation sqref="H5:H12" showDropDown="0" showInputMessage="0" showErrorMessage="0" allowBlank="1" type="list">
      <formula1>"PASA,FALLA,BLOQUEADO,PENDIENTE"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10" defaultColWidth="8.83203125" defaultRowHeight="15"/>
  <cols>
    <col width="12" customWidth="1" style="18" min="1" max="1"/>
    <col width="16" customWidth="1" style="18" min="2" max="2"/>
    <col width="42" customWidth="1" style="18" min="3" max="3"/>
    <col width="16" customWidth="1" style="18" min="4" max="4"/>
    <col width="20" customWidth="1" style="18" min="5" max="5"/>
    <col width="16" customWidth="1" style="18" min="6" max="6"/>
    <col width="20" customWidth="1" style="18" min="7" max="7"/>
    <col width="15" customWidth="1" style="18" min="8" max="9"/>
    <col width="28" customWidth="1" style="18" min="10" max="10"/>
  </cols>
  <sheetData>
    <row r="1" ht="25" customHeight="1" s="18">
      <c r="A1" s="19" t="inlineStr">
        <is>
          <t>REGISTRO FORMAL DE NO CONFORMIDADES, DEFECTOS Y OBSERVACIONES DE QA</t>
        </is>
      </c>
    </row>
    <row r="2" ht="18" customHeight="1" s="18">
      <c r="A2" s="20" t="inlineStr">
        <is>
          <t>Bitácora para que Camila asigne errores y rechazos a Juan Pablo, Juan José e Iván antes de dar el visto bueno.</t>
        </is>
      </c>
    </row>
    <row r="4" ht="28" customHeight="1" s="18">
      <c r="A4" s="4" t="inlineStr">
        <is>
          <t>ID Defecto</t>
        </is>
      </c>
      <c r="B4" s="4" t="inlineStr">
        <is>
          <t>Historia Asociada</t>
        </is>
      </c>
      <c r="C4" s="4" t="inlineStr">
        <is>
          <t>Descripción del Hallazgo / Defecto</t>
        </is>
      </c>
      <c r="D4" s="4" t="inlineStr">
        <is>
          <t>Tipo de Error</t>
        </is>
      </c>
      <c r="E4" s="4" t="inlineStr">
        <is>
          <t>Severidad (Desplegable)</t>
        </is>
      </c>
      <c r="F4" s="4" t="inlineStr">
        <is>
          <t>Asignado a</t>
        </is>
      </c>
      <c r="G4" s="4" t="inlineStr">
        <is>
          <t>Estado (Desplegable)</t>
        </is>
      </c>
      <c r="H4" s="4" t="inlineStr">
        <is>
          <t>Fecha Detección</t>
        </is>
      </c>
      <c r="I4" s="4" t="inlineStr">
        <is>
          <t>Fecha Resolución</t>
        </is>
      </c>
      <c r="J4" s="4" t="inlineStr">
        <is>
          <t>Validación Final de Camila</t>
        </is>
      </c>
    </row>
    <row r="5" ht="25" customHeight="1" s="18">
      <c r="A5" s="8" t="inlineStr">
        <is>
          <t>BUG-01</t>
        </is>
      </c>
      <c r="B5" s="10" t="inlineStr">
        <is>
          <t>HU-19</t>
        </is>
      </c>
      <c r="C5" s="9" t="inlineStr">
        <is>
          <t>El bloque de 'Canales' en la hoja CANVAS no especifica distribución directa a tiendas</t>
        </is>
      </c>
      <c r="D5" s="10" t="inlineStr">
        <is>
          <t>Contenido</t>
        </is>
      </c>
      <c r="E5" s="10" t="inlineStr">
        <is>
          <t>Media</t>
        </is>
      </c>
      <c r="F5" s="10" t="inlineStr">
        <is>
          <t>Juan Pablo</t>
        </is>
      </c>
      <c r="G5" s="10" t="inlineStr">
        <is>
          <t>ABIERTO</t>
        </is>
      </c>
      <c r="H5" s="10" t="inlineStr">
        <is>
          <t>2026-10-28</t>
        </is>
      </c>
      <c r="I5" s="10" t="n"/>
      <c r="J5" s="9" t="inlineStr">
        <is>
          <t>Pendiente de completar por Juan Pablo</t>
        </is>
      </c>
    </row>
    <row r="6" ht="25" customHeight="1" s="18">
      <c r="A6" s="5" t="inlineStr">
        <is>
          <t>BUG-02</t>
        </is>
      </c>
      <c r="B6" s="7" t="inlineStr">
        <is>
          <t>HU-22</t>
        </is>
      </c>
      <c r="C6" s="6" t="inlineStr">
        <is>
          <t>Faltan enlaces a los commits del repositorio de GitHub en la tabla de control de cambios</t>
        </is>
      </c>
      <c r="D6" s="7" t="inlineStr">
        <is>
          <t>Trazabilidad</t>
        </is>
      </c>
      <c r="E6" s="7" t="inlineStr">
        <is>
          <t>Alta</t>
        </is>
      </c>
      <c r="F6" s="7" t="inlineStr">
        <is>
          <t>Juan Pablo</t>
        </is>
      </c>
      <c r="G6" s="7" t="inlineStr">
        <is>
          <t>ABIERTO</t>
        </is>
      </c>
      <c r="H6" s="7" t="inlineStr">
        <is>
          <t>2026-10-28</t>
        </is>
      </c>
      <c r="I6" s="7" t="n"/>
      <c r="J6" s="6" t="inlineStr">
        <is>
          <t>Revisar tras añadir enlaces</t>
        </is>
      </c>
    </row>
    <row r="7" ht="25" customHeight="1" s="18">
      <c r="A7" s="8" t="inlineStr">
        <is>
          <t>BUG-03</t>
        </is>
      </c>
      <c r="B7" s="10" t="inlineStr">
        <is>
          <t>HU-06</t>
        </is>
      </c>
      <c r="C7" s="9" t="inlineStr">
        <is>
          <t>En la fórmula de OEE en JavaScript, verificar si la velocidad nominal del horno está en unid/min o unid/h</t>
        </is>
      </c>
      <c r="D7" s="10" t="inlineStr">
        <is>
          <t>Cálculo</t>
        </is>
      </c>
      <c r="E7" s="10" t="inlineStr">
        <is>
          <t>Alta</t>
        </is>
      </c>
      <c r="F7" s="10" t="inlineStr">
        <is>
          <t>Juan José</t>
        </is>
      </c>
      <c r="G7" s="10" t="inlineStr">
        <is>
          <t>EN CORRECCIÓN</t>
        </is>
      </c>
      <c r="H7" s="10" t="inlineStr">
        <is>
          <t>2026-10-28</t>
        </is>
      </c>
      <c r="I7" s="10" t="n"/>
      <c r="J7" s="9" t="inlineStr">
        <is>
          <t>Verificar coherencia de unidades</t>
        </is>
      </c>
    </row>
    <row r="8" ht="25" customHeight="1" s="18">
      <c r="A8" s="5" t="inlineStr">
        <is>
          <t>BUG-04</t>
        </is>
      </c>
      <c r="B8" s="7" t="inlineStr">
        <is>
          <t>HU-21</t>
        </is>
      </c>
      <c r="C8" s="6" t="inlineStr">
        <is>
          <t>En opciones de financiación falta detallar el impacto de la tasa de interés en el flujo de caja</t>
        </is>
      </c>
      <c r="D8" s="7" t="inlineStr">
        <is>
          <t>Análisis</t>
        </is>
      </c>
      <c r="E8" s="7" t="inlineStr">
        <is>
          <t>Baja</t>
        </is>
      </c>
      <c r="F8" s="7" t="inlineStr">
        <is>
          <t>María Camila</t>
        </is>
      </c>
      <c r="G8" s="7" t="inlineStr">
        <is>
          <t>ABIERTO</t>
        </is>
      </c>
      <c r="H8" s="7" t="inlineStr">
        <is>
          <t>2026-10-28</t>
        </is>
      </c>
      <c r="I8" s="7" t="n"/>
      <c r="J8" s="6" t="inlineStr">
        <is>
          <t>Añadir nota explicativa</t>
        </is>
      </c>
    </row>
  </sheetData>
  <mergeCells count="2">
    <mergeCell ref="A1:J1"/>
    <mergeCell ref="A2:J2"/>
  </mergeCells>
  <dataValidations count="2">
    <dataValidation sqref="G5:G20" showDropDown="0" showInputMessage="0" showErrorMessage="0" allowBlank="1" type="list">
      <formula1>"ABIERTO,EN CORRECCIÓN,RESUELTO,CERRADO"</formula1>
    </dataValidation>
    <dataValidation sqref="E5:E20" showDropDown="0" showInputMessage="0" showErrorMessage="0" allowBlank="1" type="list">
      <formula1>"Bloqueante,Alta,Media,Baja"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2026-10-28T23:15:08Z</dcterms:created>
  <dcterms:modified xsi:type="dcterms:W3CDTF">2026-10-30T03:05:28Z</dcterms:modified>
  <cp:lastModifiedBy>Maria Camila Tamayo Cuesta</cp:lastModifiedBy>
</cp:coreProperties>
</file>